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6C7B811C-6AEB-48C3-9679-CA5EC80BF9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sheet!$AG$47:$AI$239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3" i="1" l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48" i="1"/>
  <c r="AH233" i="1"/>
  <c r="AH240" i="1" s="1"/>
  <c r="P196" i="1"/>
  <c r="T17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48" i="1"/>
  <c r="T8" i="1"/>
  <c r="T15" i="1" s="1"/>
  <c r="R8" i="1"/>
  <c r="C8" i="1"/>
  <c r="T9" i="1" l="1"/>
  <c r="T13" i="1" s="1"/>
  <c r="T14" i="1" s="1"/>
</calcChain>
</file>

<file path=xl/sharedStrings.xml><?xml version="1.0" encoding="utf-8"?>
<sst xmlns="http://schemas.openxmlformats.org/spreadsheetml/2006/main" count="1346" uniqueCount="271">
  <si>
    <t>HOIGYE_CODE</t>
  </si>
  <si>
    <t>SIGUMGO_ORG_C</t>
  </si>
  <si>
    <t>SEIB_SUIP</t>
  </si>
  <si>
    <t>TAX_BAEJUNG_IP_AMT</t>
  </si>
  <si>
    <t>SEIB_BANNAB</t>
  </si>
  <si>
    <t>SEIB_GYEONGJEONG_IB</t>
  </si>
  <si>
    <t>SEIB_GYEONGJEONG_JI</t>
  </si>
  <si>
    <t>SECHUL_BAEJEONG</t>
  </si>
  <si>
    <t>SECHUL_HWANSU</t>
  </si>
  <si>
    <t>SECHUL_JI</t>
  </si>
  <si>
    <t>SECHUL_BANNAB</t>
  </si>
  <si>
    <t>SECHUL_GYEONGJEONG_IB</t>
  </si>
  <si>
    <t>SECHUL_GYEONGJEONG_JI</t>
  </si>
  <si>
    <t>SEIB_GYULSANBF_IIB</t>
  </si>
  <si>
    <t>SECHUL_GYULSANBF_IWOL</t>
  </si>
  <si>
    <t>DEP</t>
  </si>
  <si>
    <t>MMDA</t>
  </si>
  <si>
    <t>SUNP_AMT</t>
  </si>
  <si>
    <t>IWOL_GONGGEUM</t>
  </si>
  <si>
    <t>IWOL_MIJUNGSAN</t>
  </si>
  <si>
    <t>IWOL_MMDA</t>
  </si>
  <si>
    <t>IWOL_GONGGEUM_DEP</t>
  </si>
  <si>
    <t>SEIB_SUIP2</t>
  </si>
  <si>
    <t>TAX_BAEJUNG_IP_AMT2</t>
  </si>
  <si>
    <t>SEIB_BANNAB2</t>
  </si>
  <si>
    <t>SEIB_GYEONGJEONG_IB2</t>
  </si>
  <si>
    <t>SEIB_GYEONGJEONG_JI2</t>
  </si>
  <si>
    <t>SECHUL_BAEJEONG2</t>
  </si>
  <si>
    <t>SECHUL_HWANSU2</t>
  </si>
  <si>
    <t>SECHUL_JI2</t>
  </si>
  <si>
    <t>SECHUL_BANNAB2</t>
  </si>
  <si>
    <t>SECHUL_GYEONGJEONG_IB2</t>
  </si>
  <si>
    <t>SECHUL_GYEONGJEONG_JI2</t>
  </si>
  <si>
    <t>SEIB_GYULSANBF_IIB2</t>
  </si>
  <si>
    <t>SECHUL_GYULSANBF_IWOL2</t>
  </si>
  <si>
    <t>DEP2</t>
  </si>
  <si>
    <t>MMDA2</t>
  </si>
  <si>
    <t>SUNP_AMT2</t>
  </si>
  <si>
    <t>IWOL_GONGGEUM2</t>
  </si>
  <si>
    <t>IWOL_MIJUNGSAN2</t>
  </si>
  <si>
    <t>IWOL_MMDA2</t>
  </si>
  <si>
    <t>IWOL_GONGGEUM_DEP2</t>
  </si>
  <si>
    <t>1</t>
  </si>
  <si>
    <t>110</t>
  </si>
  <si>
    <t>수납집계표</t>
    <phoneticPr fontId="3" type="noConversion"/>
  </si>
  <si>
    <t>세입세출일계표</t>
    <phoneticPr fontId="3" type="noConversion"/>
  </si>
  <si>
    <t>차액</t>
    <phoneticPr fontId="3" type="noConversion"/>
  </si>
  <si>
    <t>이월미이체분제외금액</t>
    <phoneticPr fontId="3" type="noConversion"/>
  </si>
  <si>
    <t>세입과수납금액차이</t>
    <phoneticPr fontId="3" type="noConversion"/>
  </si>
  <si>
    <t>차액중 정기예금제외금액</t>
    <phoneticPr fontId="3" type="noConversion"/>
  </si>
  <si>
    <t>20251125수납집계데이터</t>
    <phoneticPr fontId="3" type="noConversion"/>
  </si>
  <si>
    <t>SUNAP_DT</t>
  </si>
  <si>
    <t>JIBANGSE_AMT</t>
  </si>
  <si>
    <t>20250102</t>
  </si>
  <si>
    <t>20250103</t>
  </si>
  <si>
    <t>20250109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</si>
  <si>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</si>
  <si>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</si>
  <si>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</si>
  <si>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</si>
  <si>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</si>
  <si>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</si>
  <si>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</si>
  <si>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</si>
  <si>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</si>
  <si>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</si>
  <si>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20250131</t>
  </si>
  <si>
    <t>20250210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</si>
  <si>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</si>
  <si>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</si>
  <si>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</si>
  <si>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</si>
  <si>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</si>
  <si>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</si>
  <si>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</si>
  <si>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</si>
  <si>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</si>
  <si>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</si>
  <si>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</si>
  <si>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</si>
  <si>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</si>
  <si>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20250310</t>
  </si>
  <si>
    <t>20250311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</si>
  <si>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</si>
  <si>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</si>
  <si>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</si>
  <si>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</si>
  <si>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</si>
  <si>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</si>
  <si>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</si>
  <si>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</si>
  <si>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</si>
  <si>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</si>
  <si>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</si>
  <si>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</si>
  <si>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</si>
  <si>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20250408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</si>
  <si>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</si>
  <si>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</si>
  <si>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</si>
  <si>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</si>
  <si>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</si>
  <si>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</si>
  <si>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</si>
  <si>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</si>
  <si>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</si>
  <si>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</si>
  <si>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</si>
  <si>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</si>
  <si>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</si>
  <si>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</si>
  <si>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</si>
  <si>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</si>
  <si>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</si>
  <si>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</si>
  <si>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</si>
  <si>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</si>
  <si>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</si>
  <si>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</si>
  <si>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</si>
  <si>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</si>
  <si>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</si>
  <si>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</si>
  <si>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</si>
  <si>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</si>
  <si>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</si>
  <si>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20250531</t>
  </si>
  <si>
    <t>20250602</t>
  </si>
  <si>
    <t>20250612</t>
  </si>
  <si>
    <t>20250616</t>
  </si>
  <si>
    <t>20250617</t>
  </si>
  <si>
    <t>20250618</t>
  </si>
  <si>
    <t>20250619</t>
  </si>
  <si>
    <t>20250620</t>
  </si>
  <si>
    <t>20250623</t>
  </si>
  <si>
    <t>20250625</t>
  </si>
  <si>
    <t>20250626</t>
  </si>
  <si>
    <t>20250627</t>
  </si>
  <si>
    <t>20250630</t>
  </si>
  <si>
    <t>20250701</t>
  </si>
  <si>
    <t>20250704</t>
  </si>
  <si>
    <t>20250708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</si>
  <si>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</si>
  <si>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</si>
  <si>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</si>
  <si>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</si>
  <si>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</si>
  <si>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</si>
  <si>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</si>
  <si>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</si>
  <si>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</si>
  <si>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</si>
  <si>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</si>
  <si>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</si>
  <si>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</si>
  <si>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</si>
  <si>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</si>
  <si>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</si>
  <si>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20250808</t>
  </si>
  <si>
    <t>20250812</t>
  </si>
  <si>
    <t>20250813</t>
  </si>
  <si>
    <t>20250814</t>
  </si>
  <si>
    <t>20250818</t>
  </si>
  <si>
    <t>20250819</t>
  </si>
  <si>
    <t>20250820</t>
  </si>
  <si>
    <t>20250821</t>
  </si>
  <si>
    <t>20250825</t>
  </si>
  <si>
    <t>20250826</t>
  </si>
  <si>
    <t>20250827</t>
  </si>
  <si>
    <t>20250828</t>
  </si>
  <si>
    <t>20250829</t>
  </si>
  <si>
    <t>20250831</t>
  </si>
  <si>
    <t>20250909</t>
  </si>
  <si>
    <t>20250911</t>
  </si>
  <si>
    <t>20250912</t>
  </si>
  <si>
    <t>20250915</t>
  </si>
  <si>
    <t>20250916</t>
  </si>
  <si>
    <t>20250917</t>
  </si>
  <si>
    <t>20250918</t>
  </si>
  <si>
    <t>20250922</t>
  </si>
  <si>
    <t>20250923</t>
  </si>
  <si>
    <t>20250924</t>
  </si>
  <si>
    <t>20250925</t>
  </si>
  <si>
    <t>20250926</t>
  </si>
  <si>
    <t>20250930</t>
  </si>
  <si>
    <t>20251015</t>
  </si>
  <si>
    <t>20251017</t>
  </si>
  <si>
    <t>20251020</t>
  </si>
  <si>
    <t>20251021</t>
  </si>
  <si>
    <t>20251022</t>
  </si>
  <si>
    <t>20251023</t>
  </si>
  <si>
    <t>20250624</t>
  </si>
  <si>
    <t>20250822</t>
  </si>
  <si>
    <t>20250919</t>
  </si>
  <si>
    <t>20250929</t>
  </si>
  <si>
    <t>20251024</t>
  </si>
  <si>
    <t>20251027</t>
  </si>
  <si>
    <t>20251028</t>
  </si>
  <si>
    <t>20251029</t>
  </si>
  <si>
    <t>20251030</t>
  </si>
  <si>
    <t>20251031</t>
  </si>
  <si>
    <t>20251125 수납데이터 그룹바이</t>
    <phoneticPr fontId="3" type="noConversion"/>
  </si>
  <si>
    <t>SUNAPIL</t>
  </si>
  <si>
    <t>BONSE_AMT</t>
  </si>
  <si>
    <t>일치여부</t>
    <phoneticPr fontId="3" type="noConversion"/>
  </si>
  <si>
    <t>미이체금액</t>
    <phoneticPr fontId="3" type="noConversion"/>
  </si>
  <si>
    <t>ICHEIL</t>
  </si>
  <si>
    <t>JIBGYE_CODE</t>
  </si>
  <si>
    <t>20251113</t>
  </si>
  <si>
    <t>20251117</t>
  </si>
  <si>
    <t>20251115</t>
  </si>
  <si>
    <t>20251103</t>
  </si>
  <si>
    <t>20251104</t>
  </si>
  <si>
    <t>20251105</t>
  </si>
  <si>
    <t>20251106</t>
  </si>
  <si>
    <t>20251121</t>
  </si>
  <si>
    <t>20251110</t>
  </si>
  <si>
    <t>20251111</t>
  </si>
  <si>
    <t>거래내역 기준일기준</t>
    <phoneticPr fontId="3" type="noConversion"/>
  </si>
  <si>
    <t>GJDT</t>
  </si>
  <si>
    <t>20250106</t>
  </si>
  <si>
    <t>20250107</t>
  </si>
  <si>
    <t>20250110</t>
  </si>
  <si>
    <t>20250203</t>
  </si>
  <si>
    <t>20250204</t>
  </si>
  <si>
    <t>20250205</t>
  </si>
  <si>
    <t>20250206</t>
  </si>
  <si>
    <t>20250211</t>
  </si>
  <si>
    <t>20250304</t>
  </si>
  <si>
    <t>20250305</t>
  </si>
  <si>
    <t>20250306</t>
  </si>
  <si>
    <t>20250307</t>
  </si>
  <si>
    <t>20250312</t>
  </si>
  <si>
    <t>20250401</t>
  </si>
  <si>
    <t>20250402</t>
  </si>
  <si>
    <t>20250403</t>
  </si>
  <si>
    <t>20250404</t>
  </si>
  <si>
    <t>20250409</t>
  </si>
  <si>
    <t>20250502</t>
  </si>
  <si>
    <t>20250507</t>
  </si>
  <si>
    <t>20250508</t>
  </si>
  <si>
    <t>20250509</t>
  </si>
  <si>
    <t>20250604</t>
  </si>
  <si>
    <t>20250605</t>
  </si>
  <si>
    <t>20250609</t>
  </si>
  <si>
    <t>20250610</t>
  </si>
  <si>
    <t>20250613</t>
  </si>
  <si>
    <t>20250702</t>
  </si>
  <si>
    <t>20250703</t>
  </si>
  <si>
    <t>20250709</t>
  </si>
  <si>
    <t>20250801</t>
  </si>
  <si>
    <t>20250804</t>
  </si>
  <si>
    <t>20250805</t>
  </si>
  <si>
    <t>20250806</t>
  </si>
  <si>
    <t>20250811</t>
  </si>
  <si>
    <t>20250901</t>
  </si>
  <si>
    <t>20250902</t>
  </si>
  <si>
    <t>20250903</t>
  </si>
  <si>
    <t>20250904</t>
  </si>
  <si>
    <t>20250905</t>
  </si>
  <si>
    <t>20250910</t>
  </si>
  <si>
    <t>20251001</t>
  </si>
  <si>
    <t>20251002</t>
  </si>
  <si>
    <t>20251010</t>
  </si>
  <si>
    <t>20251013</t>
  </si>
  <si>
    <t>20251016</t>
  </si>
  <si>
    <t>세입세출일계집계</t>
    <phoneticPr fontId="3" type="noConversion"/>
  </si>
  <si>
    <t>BAS_DT</t>
  </si>
  <si>
    <t>PROC_DT</t>
  </si>
  <si>
    <t>GISDT</t>
  </si>
  <si>
    <t>TAX_SUNP_IP_AMT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</si>
</sst>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;[Red]\-#,##0\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1" fillId="3" borderId="1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5" borderId="1" xfId="0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178" fontId="0" fillId="4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200025</xdr:colOff>
      <xdr:row>22</xdr:row>
      <xdr:rowOff>76200</xdr:rowOff>
    </xdr:from>
    <xdr:to>
      <xdr:col>20</xdr:col>
      <xdr:colOff>344995</xdr:colOff>
      <xdr:row>40</xdr:row>
      <xdr:rowOff>181516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FB9863-699E-F389-C7C1-E534ADAA0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0250" y="4686300"/>
          <a:ext cx="15013495" cy="3877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0"/>
  <sheetViews>
    <sheetView tabSelected="1" topLeftCell="Y41" workbookViewId="0">
      <selection activeCell="Z53" sqref="Z53"/>
    </sheetView>
  </sheetViews>
  <sheetFormatPr defaultRowHeight="16.5" x14ac:dyDescent="0.3"/>
  <cols>
    <col min="1" max="1" width="14" customWidth="1"/>
    <col min="2" max="2" width="16.75" customWidth="1"/>
    <col min="3" max="3" width="15.75" customWidth="1"/>
    <col min="4" max="4" width="21" customWidth="1"/>
    <col min="5" max="5" width="13.875" customWidth="1"/>
    <col min="6" max="6" width="21.875" customWidth="1"/>
    <col min="7" max="7" width="21.625" customWidth="1"/>
    <col min="8" max="8" width="18.625" customWidth="1"/>
    <col min="9" max="9" width="17.125" customWidth="1"/>
    <col min="10" max="10" width="13" customWidth="1"/>
    <col min="11" max="11" width="16.625" customWidth="1"/>
    <col min="12" max="12" width="24.625" customWidth="1"/>
    <col min="13" max="13" width="24.375" customWidth="1"/>
    <col min="14" max="14" width="19.625" customWidth="1"/>
    <col min="15" max="15" width="24.5" customWidth="1"/>
    <col min="16" max="16" width="18" customWidth="1"/>
    <col min="17" max="17" width="7.5" customWidth="1"/>
    <col min="18" max="18" width="21" customWidth="1"/>
    <col min="19" max="19" width="21.625" customWidth="1"/>
    <col min="20" max="20" width="17.25" customWidth="1"/>
    <col min="21" max="21" width="12.625" customWidth="1"/>
    <col min="22" max="22" width="21.25" customWidth="1"/>
    <col min="23" max="23" width="11.875" customWidth="1"/>
    <col min="24" max="24" width="21.875" customWidth="1"/>
    <col min="25" max="25" width="14.75" customWidth="1"/>
    <col min="26" max="26" width="22.75" customWidth="1"/>
    <col min="27" max="27" width="22.5" customWidth="1"/>
    <col min="28" max="28" width="19.5" customWidth="1"/>
    <col min="29" max="29" width="18.125" customWidth="1"/>
    <col min="30" max="30" width="12.375" customWidth="1"/>
    <col min="31" max="31" width="17.625" customWidth="1"/>
    <col min="32" max="32" width="25.5" customWidth="1"/>
    <col min="33" max="33" width="25.375" customWidth="1"/>
    <col min="34" max="34" width="20.5" customWidth="1"/>
    <col min="35" max="35" width="25.375" customWidth="1"/>
    <col min="36" max="36" width="6.75" customWidth="1"/>
    <col min="37" max="37" width="8.5" customWidth="1"/>
    <col min="38" max="38" width="12.5" customWidth="1"/>
    <col min="39" max="39" width="18" customWidth="1"/>
    <col min="40" max="40" width="18.125" customWidth="1"/>
    <col min="41" max="41" width="13.5" customWidth="1"/>
    <col min="42" max="42" width="22.125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2" t="s">
        <v>42</v>
      </c>
      <c r="B2" s="2" t="s">
        <v>43</v>
      </c>
      <c r="C2" s="3">
        <v>60361682921</v>
      </c>
      <c r="D2" s="3">
        <v>623334244</v>
      </c>
      <c r="E2" s="3">
        <v>186192462</v>
      </c>
      <c r="F2" s="3">
        <v>0</v>
      </c>
      <c r="G2" s="3">
        <v>0</v>
      </c>
      <c r="H2" s="3">
        <v>8565376090</v>
      </c>
      <c r="I2" s="3">
        <v>-1513826579</v>
      </c>
      <c r="J2" s="3">
        <v>54175894635</v>
      </c>
      <c r="K2" s="3">
        <v>-843930</v>
      </c>
      <c r="L2" s="3">
        <v>0</v>
      </c>
      <c r="M2" s="3">
        <v>0</v>
      </c>
      <c r="N2" s="3">
        <v>0</v>
      </c>
      <c r="O2" s="3">
        <v>0</v>
      </c>
      <c r="P2" s="3">
        <v>20000000000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</row>
    <row r="3" spans="1:42" x14ac:dyDescent="0.3">
      <c r="A3" s="2" t="s">
        <v>42</v>
      </c>
      <c r="B3" s="2" t="s">
        <v>43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386054794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</row>
    <row r="4" spans="1:42" x14ac:dyDescent="0.3">
      <c r="A4" s="2" t="s">
        <v>42</v>
      </c>
      <c r="B4" s="2" t="s">
        <v>43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60177395218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</row>
    <row r="5" spans="1:42" x14ac:dyDescent="0.3">
      <c r="A5" s="2" t="s">
        <v>42</v>
      </c>
      <c r="B5" s="2" t="s">
        <v>43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72353062786</v>
      </c>
      <c r="T5" s="3">
        <v>1867119520</v>
      </c>
      <c r="U5" s="3">
        <v>0</v>
      </c>
      <c r="V5" s="3">
        <v>30000000000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</row>
    <row r="6" spans="1:42" x14ac:dyDescent="0.3">
      <c r="A6" s="2" t="s">
        <v>42</v>
      </c>
      <c r="B6" s="2" t="s">
        <v>43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10797510</v>
      </c>
      <c r="X6" s="3">
        <v>0</v>
      </c>
      <c r="Y6" s="3">
        <v>467400</v>
      </c>
      <c r="Z6" s="3">
        <v>0</v>
      </c>
      <c r="AA6" s="3">
        <v>0</v>
      </c>
      <c r="AB6" s="3">
        <v>0</v>
      </c>
      <c r="AC6" s="3">
        <v>0</v>
      </c>
      <c r="AD6" s="3">
        <v>39157520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</row>
    <row r="7" spans="1:42" x14ac:dyDescent="0.3">
      <c r="A7" s="2" t="s">
        <v>42</v>
      </c>
      <c r="B7" s="2" t="s">
        <v>43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1790984691</v>
      </c>
      <c r="AM7" s="3">
        <v>0</v>
      </c>
      <c r="AN7" s="3">
        <v>0</v>
      </c>
      <c r="AO7" s="3">
        <v>0</v>
      </c>
      <c r="AP7" s="3">
        <v>0</v>
      </c>
    </row>
    <row r="8" spans="1:42" x14ac:dyDescent="0.3">
      <c r="C8" s="4">
        <f>SUM(C2:C7)</f>
        <v>60361682921</v>
      </c>
      <c r="R8" s="4">
        <f>SUM(R2:R7)</f>
        <v>60563450012</v>
      </c>
      <c r="S8" s="4"/>
      <c r="T8" s="4">
        <f>SUM(T2:T7)</f>
        <v>1867119520</v>
      </c>
    </row>
    <row r="9" spans="1:42" x14ac:dyDescent="0.3">
      <c r="S9" s="4" t="s">
        <v>45</v>
      </c>
      <c r="T9" s="4">
        <f>R8-C8+T8</f>
        <v>2068886611</v>
      </c>
    </row>
    <row r="12" spans="1:42" x14ac:dyDescent="0.3">
      <c r="S12" t="s">
        <v>44</v>
      </c>
      <c r="T12" s="4">
        <v>1682373130</v>
      </c>
    </row>
    <row r="13" spans="1:42" x14ac:dyDescent="0.3">
      <c r="S13" t="s">
        <v>46</v>
      </c>
      <c r="T13" s="4">
        <f>T9-T12</f>
        <v>386513481</v>
      </c>
    </row>
    <row r="14" spans="1:42" x14ac:dyDescent="0.3">
      <c r="S14" t="s">
        <v>49</v>
      </c>
      <c r="T14" s="4">
        <f>T13-R3</f>
        <v>458687</v>
      </c>
    </row>
    <row r="15" spans="1:42" x14ac:dyDescent="0.3">
      <c r="S15" t="s">
        <v>47</v>
      </c>
      <c r="T15" s="4">
        <f>T12-T8</f>
        <v>-184746390</v>
      </c>
    </row>
    <row r="17" spans="19:20" x14ac:dyDescent="0.3">
      <c r="S17" t="s">
        <v>48</v>
      </c>
      <c r="T17" s="4">
        <f>C8-R4</f>
        <v>184287703</v>
      </c>
    </row>
    <row r="45" spans="12:33" x14ac:dyDescent="0.3">
      <c r="L45" t="s">
        <v>50</v>
      </c>
      <c r="O45" t="s">
        <v>201</v>
      </c>
      <c r="T45" t="s">
        <v>205</v>
      </c>
      <c r="Y45" t="s">
        <v>218</v>
      </c>
      <c r="AB45" t="s">
        <v>266</v>
      </c>
    </row>
    <row r="47" spans="12:33" x14ac:dyDescent="0.3">
      <c r="L47" s="1" t="s">
        <v>51</v>
      </c>
      <c r="M47" s="1" t="s">
        <v>52</v>
      </c>
      <c r="O47" s="1" t="s">
        <v>202</v>
      </c>
      <c r="P47" s="1" t="s">
        <v>203</v>
      </c>
      <c r="R47" s="13" t="s">
        <v>204</v>
      </c>
      <c r="T47" s="1" t="s">
        <v>202</v>
      </c>
      <c r="U47" s="1" t="s">
        <v>206</v>
      </c>
      <c r="V47" s="1" t="s">
        <v>207</v>
      </c>
      <c r="W47" s="1" t="s">
        <v>203</v>
      </c>
      <c r="Y47" s="1" t="s">
        <v>219</v>
      </c>
      <c r="Z47" s="1" t="s">
        <v>17</v>
      </c>
      <c r="AB47" s="1" t="s">
        <v>267</v>
      </c>
      <c r="AC47" s="1" t="s">
        <v>268</v>
      </c>
      <c r="AD47" s="1" t="s">
        <v>269</v>
      </c>
      <c r="AE47" s="1" t="s">
        <v>270</v>
      </c>
      <c r="AG47" t="s">
        <v>204</v>
      </c>
    </row>
    <row r="48" spans="12:33" x14ac:dyDescent="0.3">
      <c r="L48" s="5" t="s">
        <v>53</v>
      </c>
      <c r="M48" s="6">
        <v>169977990</v>
      </c>
      <c r="O48" s="5" t="s">
        <v>53</v>
      </c>
      <c r="P48" s="6">
        <v>169977990</v>
      </c>
      <c r="R48" t="b">
        <f>M48=P48</f>
        <v>1</v>
      </c>
      <c r="T48" s="5" t="s">
        <v>185</v>
      </c>
      <c r="U48" s="5" t="s">
        <v>208</v>
      </c>
      <c r="V48" s="5" t="s">
        <v>42</v>
      </c>
      <c r="W48" s="6">
        <v>621640</v>
      </c>
      <c r="Y48" s="5" t="s">
        <v>53</v>
      </c>
      <c r="Z48" s="6">
        <v>187184380</v>
      </c>
      <c r="AB48" s="5" t="s">
        <v>53</v>
      </c>
      <c r="AC48" s="5" t="s">
        <v>53</v>
      </c>
      <c r="AD48" s="5" t="s">
        <v>53</v>
      </c>
      <c r="AE48" s="6">
        <v>187184380</v>
      </c>
      <c r="AG48" t="b">
        <f>AE48=Z48</f>
        <v>1</v>
      </c>
    </row>
    <row r="49" spans="12:35" x14ac:dyDescent="0.3">
      <c r="L49" s="5" t="s">
        <v>54</v>
      </c>
      <c r="M49" s="6">
        <v>4244000</v>
      </c>
      <c r="O49" s="5" t="s">
        <v>54</v>
      </c>
      <c r="P49" s="6">
        <v>4244000</v>
      </c>
      <c r="R49" t="b">
        <f t="shared" ref="R49:R112" si="0">M49=P49</f>
        <v>1</v>
      </c>
      <c r="T49" s="5" t="s">
        <v>185</v>
      </c>
      <c r="U49" s="5" t="s">
        <v>208</v>
      </c>
      <c r="V49" s="5" t="s">
        <v>42</v>
      </c>
      <c r="W49" s="6">
        <v>440910</v>
      </c>
      <c r="Y49" s="5" t="s">
        <v>54</v>
      </c>
      <c r="Z49" s="6">
        <v>18578130</v>
      </c>
      <c r="AB49" s="5" t="s">
        <v>54</v>
      </c>
      <c r="AC49" s="5" t="s">
        <v>54</v>
      </c>
      <c r="AD49" s="5" t="s">
        <v>54</v>
      </c>
      <c r="AE49" s="6">
        <v>18578130</v>
      </c>
      <c r="AG49" t="b">
        <f t="shared" ref="AG49:AG112" si="1">AE49=Z49</f>
        <v>1</v>
      </c>
    </row>
    <row r="50" spans="12:35" x14ac:dyDescent="0.3">
      <c r="L50" s="5" t="s">
        <v>55</v>
      </c>
      <c r="M50" s="6">
        <v>93162630</v>
      </c>
      <c r="O50" s="5" t="s">
        <v>55</v>
      </c>
      <c r="P50" s="6">
        <v>93162630</v>
      </c>
      <c r="R50" t="b">
        <f t="shared" si="0"/>
        <v>1</v>
      </c>
      <c r="T50" s="5" t="s">
        <v>185</v>
      </c>
      <c r="U50" s="5" t="s">
        <v>208</v>
      </c>
      <c r="V50" s="5" t="s">
        <v>42</v>
      </c>
      <c r="W50" s="6">
        <v>81130</v>
      </c>
      <c r="Y50" s="5" t="s">
        <v>220</v>
      </c>
      <c r="Z50" s="6">
        <v>51378290</v>
      </c>
      <c r="AB50" s="5" t="s">
        <v>220</v>
      </c>
      <c r="AC50" s="5" t="s">
        <v>220</v>
      </c>
      <c r="AD50" s="5" t="s">
        <v>220</v>
      </c>
      <c r="AE50" s="6">
        <v>51378290</v>
      </c>
      <c r="AG50" t="b">
        <f t="shared" si="1"/>
        <v>1</v>
      </c>
    </row>
    <row r="51" spans="12:35" x14ac:dyDescent="0.3">
      <c r="L51" s="5" t="s">
        <v>56</v>
      </c>
      <c r="M51" s="6">
        <v>1838350</v>
      </c>
      <c r="O51" s="5" t="s">
        <v>56</v>
      </c>
      <c r="P51" s="6">
        <v>1838350</v>
      </c>
      <c r="R51" t="b">
        <f t="shared" si="0"/>
        <v>1</v>
      </c>
      <c r="T51" s="5" t="s">
        <v>185</v>
      </c>
      <c r="U51" s="5" t="s">
        <v>208</v>
      </c>
      <c r="V51" s="5" t="s">
        <v>42</v>
      </c>
      <c r="W51" s="6">
        <v>15500</v>
      </c>
      <c r="Y51" s="5" t="s">
        <v>221</v>
      </c>
      <c r="Z51" s="6">
        <v>85704670</v>
      </c>
      <c r="AB51" s="5" t="s">
        <v>221</v>
      </c>
      <c r="AC51" s="5" t="s">
        <v>221</v>
      </c>
      <c r="AD51" s="5" t="s">
        <v>221</v>
      </c>
      <c r="AE51" s="6">
        <v>85704670</v>
      </c>
      <c r="AG51" t="b">
        <f t="shared" si="1"/>
        <v>1</v>
      </c>
    </row>
    <row r="52" spans="12:35" x14ac:dyDescent="0.3">
      <c r="L52" s="5" t="s">
        <v>57</v>
      </c>
      <c r="M52" s="6">
        <v>9152120</v>
      </c>
      <c r="O52" s="5" t="s">
        <v>57</v>
      </c>
      <c r="P52" s="6">
        <v>9152120</v>
      </c>
      <c r="R52" t="b">
        <f t="shared" si="0"/>
        <v>1</v>
      </c>
      <c r="T52" s="5" t="s">
        <v>185</v>
      </c>
      <c r="U52" s="5" t="s">
        <v>208</v>
      </c>
      <c r="V52" s="5" t="s">
        <v>42</v>
      </c>
      <c r="W52" s="6">
        <v>18850</v>
      </c>
      <c r="Y52" s="5" t="s">
        <v>55</v>
      </c>
      <c r="Z52" s="6">
        <v>373884330</v>
      </c>
      <c r="AB52" s="5" t="s">
        <v>55</v>
      </c>
      <c r="AC52" s="5" t="s">
        <v>55</v>
      </c>
      <c r="AD52" s="5" t="s">
        <v>55</v>
      </c>
      <c r="AE52" s="6">
        <v>373884330</v>
      </c>
      <c r="AG52" t="b">
        <f t="shared" si="1"/>
        <v>1</v>
      </c>
    </row>
    <row r="53" spans="12:35" s="9" customFormat="1" x14ac:dyDescent="0.3">
      <c r="L53" s="7" t="s">
        <v>58</v>
      </c>
      <c r="M53" s="8">
        <v>10549320</v>
      </c>
      <c r="O53" s="7" t="s">
        <v>58</v>
      </c>
      <c r="P53" s="8">
        <v>10549320</v>
      </c>
      <c r="R53" s="9" t="b">
        <f t="shared" si="0"/>
        <v>1</v>
      </c>
      <c r="T53" s="7" t="s">
        <v>185</v>
      </c>
      <c r="U53" s="7" t="s">
        <v>208</v>
      </c>
      <c r="V53" s="7" t="s">
        <v>42</v>
      </c>
      <c r="W53" s="8">
        <v>61760</v>
      </c>
      <c r="Y53" s="5" t="s">
        <v>222</v>
      </c>
      <c r="Z53" s="6">
        <v>248272740</v>
      </c>
      <c r="AB53" s="7" t="s">
        <v>222</v>
      </c>
      <c r="AC53" s="7" t="s">
        <v>222</v>
      </c>
      <c r="AD53" s="7" t="s">
        <v>222</v>
      </c>
      <c r="AE53" s="8">
        <v>527787210</v>
      </c>
      <c r="AG53" t="b">
        <f t="shared" si="1"/>
        <v>0</v>
      </c>
      <c r="AH53" s="14">
        <f>AE53-Z53</f>
        <v>279514470</v>
      </c>
      <c r="AI53" s="14"/>
    </row>
    <row r="54" spans="12:35" x14ac:dyDescent="0.3">
      <c r="L54" s="5" t="s">
        <v>59</v>
      </c>
      <c r="M54" s="6">
        <v>19383110</v>
      </c>
      <c r="O54" s="5" t="s">
        <v>59</v>
      </c>
      <c r="P54" s="6">
        <v>19383110</v>
      </c>
      <c r="R54" t="b">
        <f t="shared" si="0"/>
        <v>1</v>
      </c>
      <c r="T54" s="5" t="s">
        <v>185</v>
      </c>
      <c r="U54" s="5" t="s">
        <v>208</v>
      </c>
      <c r="V54" s="5" t="s">
        <v>42</v>
      </c>
      <c r="W54" s="6">
        <v>333360</v>
      </c>
      <c r="Y54" s="5" t="s">
        <v>56</v>
      </c>
      <c r="Z54" s="6">
        <v>94403700</v>
      </c>
      <c r="AB54" s="5" t="s">
        <v>56</v>
      </c>
      <c r="AC54" s="5" t="s">
        <v>56</v>
      </c>
      <c r="AD54" s="5" t="s">
        <v>56</v>
      </c>
      <c r="AE54" s="6">
        <v>94403700</v>
      </c>
      <c r="AG54" t="b">
        <f t="shared" si="1"/>
        <v>1</v>
      </c>
    </row>
    <row r="55" spans="12:35" x14ac:dyDescent="0.3">
      <c r="L55" s="5" t="s">
        <v>60</v>
      </c>
      <c r="M55" s="6">
        <v>30276490</v>
      </c>
      <c r="O55" s="5" t="s">
        <v>60</v>
      </c>
      <c r="P55" s="6">
        <v>30276490</v>
      </c>
      <c r="R55" t="b">
        <f t="shared" si="0"/>
        <v>1</v>
      </c>
      <c r="T55" s="5" t="s">
        <v>185</v>
      </c>
      <c r="U55" s="5" t="s">
        <v>208</v>
      </c>
      <c r="V55" s="5" t="s">
        <v>42</v>
      </c>
      <c r="W55" s="6">
        <v>1297080</v>
      </c>
      <c r="Y55" s="5" t="s">
        <v>57</v>
      </c>
      <c r="Z55" s="6">
        <v>6089080</v>
      </c>
      <c r="AB55" s="5" t="s">
        <v>57</v>
      </c>
      <c r="AC55" s="5" t="s">
        <v>57</v>
      </c>
      <c r="AD55" s="5" t="s">
        <v>57</v>
      </c>
      <c r="AE55" s="6">
        <v>6089080</v>
      </c>
      <c r="AG55" t="b">
        <f t="shared" si="1"/>
        <v>1</v>
      </c>
    </row>
    <row r="56" spans="12:35" x14ac:dyDescent="0.3">
      <c r="L56" s="5" t="s">
        <v>61</v>
      </c>
      <c r="M56" s="6">
        <v>46424530</v>
      </c>
      <c r="O56" s="5" t="s">
        <v>61</v>
      </c>
      <c r="P56" s="6">
        <v>46424530</v>
      </c>
      <c r="R56" t="b">
        <f t="shared" si="0"/>
        <v>1</v>
      </c>
      <c r="T56" s="5" t="s">
        <v>185</v>
      </c>
      <c r="U56" s="5" t="s">
        <v>208</v>
      </c>
      <c r="V56" s="5" t="s">
        <v>42</v>
      </c>
      <c r="W56" s="6">
        <v>402180</v>
      </c>
      <c r="Y56" s="5" t="s">
        <v>58</v>
      </c>
      <c r="Z56" s="6">
        <v>1079002410</v>
      </c>
      <c r="AB56" s="5" t="s">
        <v>58</v>
      </c>
      <c r="AC56" s="5" t="s">
        <v>58</v>
      </c>
      <c r="AD56" s="5" t="s">
        <v>58</v>
      </c>
      <c r="AE56" s="6">
        <v>1079002410</v>
      </c>
      <c r="AG56" t="b">
        <f t="shared" si="1"/>
        <v>1</v>
      </c>
    </row>
    <row r="57" spans="12:35" x14ac:dyDescent="0.3">
      <c r="L57" s="5" t="s">
        <v>62</v>
      </c>
      <c r="M57" s="6">
        <v>40945860</v>
      </c>
      <c r="O57" s="5" t="s">
        <v>62</v>
      </c>
      <c r="P57" s="6">
        <v>40945860</v>
      </c>
      <c r="R57" t="b">
        <f t="shared" si="0"/>
        <v>1</v>
      </c>
      <c r="T57" s="5" t="s">
        <v>185</v>
      </c>
      <c r="U57" s="5" t="s">
        <v>209</v>
      </c>
      <c r="V57" s="5" t="s">
        <v>42</v>
      </c>
      <c r="W57" s="6">
        <v>640090</v>
      </c>
      <c r="Y57" s="5" t="s">
        <v>59</v>
      </c>
      <c r="Z57" s="6">
        <v>17575460</v>
      </c>
      <c r="AB57" s="5" t="s">
        <v>59</v>
      </c>
      <c r="AC57" s="5" t="s">
        <v>59</v>
      </c>
      <c r="AD57" s="5" t="s">
        <v>59</v>
      </c>
      <c r="AE57" s="6">
        <v>17575460</v>
      </c>
      <c r="AG57" t="b">
        <f t="shared" si="1"/>
        <v>1</v>
      </c>
    </row>
    <row r="58" spans="12:35" x14ac:dyDescent="0.3">
      <c r="L58" s="5" t="s">
        <v>63</v>
      </c>
      <c r="M58" s="6">
        <v>129573410</v>
      </c>
      <c r="O58" s="5" t="s">
        <v>63</v>
      </c>
      <c r="P58" s="6">
        <v>129573410</v>
      </c>
      <c r="R58" t="b">
        <f t="shared" si="0"/>
        <v>1</v>
      </c>
      <c r="T58" s="5" t="s">
        <v>185</v>
      </c>
      <c r="U58" s="5" t="s">
        <v>209</v>
      </c>
      <c r="V58" s="5" t="s">
        <v>42</v>
      </c>
      <c r="W58" s="6">
        <v>36820</v>
      </c>
      <c r="Y58" s="5" t="s">
        <v>60</v>
      </c>
      <c r="Z58" s="6">
        <v>24857820</v>
      </c>
      <c r="AB58" s="5" t="s">
        <v>60</v>
      </c>
      <c r="AC58" s="5" t="s">
        <v>60</v>
      </c>
      <c r="AD58" s="5" t="s">
        <v>60</v>
      </c>
      <c r="AE58" s="6">
        <v>24857820</v>
      </c>
      <c r="AG58" t="b">
        <f t="shared" si="1"/>
        <v>1</v>
      </c>
    </row>
    <row r="59" spans="12:35" x14ac:dyDescent="0.3">
      <c r="L59" s="5" t="s">
        <v>64</v>
      </c>
      <c r="M59" s="6">
        <v>45593690</v>
      </c>
      <c r="O59" s="5" t="s">
        <v>64</v>
      </c>
      <c r="P59" s="6">
        <v>45593690</v>
      </c>
      <c r="R59" t="b">
        <f t="shared" si="0"/>
        <v>1</v>
      </c>
      <c r="T59" s="5" t="s">
        <v>185</v>
      </c>
      <c r="U59" s="5" t="s">
        <v>209</v>
      </c>
      <c r="V59" s="5" t="s">
        <v>42</v>
      </c>
      <c r="W59" s="6">
        <v>335740</v>
      </c>
      <c r="Y59" s="5" t="s">
        <v>61</v>
      </c>
      <c r="Z59" s="6">
        <v>38726550</v>
      </c>
      <c r="AB59" s="5" t="s">
        <v>61</v>
      </c>
      <c r="AC59" s="5" t="s">
        <v>61</v>
      </c>
      <c r="AD59" s="5" t="s">
        <v>61</v>
      </c>
      <c r="AE59" s="6">
        <v>38726550</v>
      </c>
      <c r="AG59" t="b">
        <f t="shared" si="1"/>
        <v>1</v>
      </c>
    </row>
    <row r="60" spans="12:35" x14ac:dyDescent="0.3">
      <c r="L60" s="5" t="s">
        <v>65</v>
      </c>
      <c r="M60" s="6">
        <v>140431130</v>
      </c>
      <c r="O60" s="5" t="s">
        <v>65</v>
      </c>
      <c r="P60" s="6">
        <v>140431130</v>
      </c>
      <c r="R60" t="b">
        <f t="shared" si="0"/>
        <v>1</v>
      </c>
      <c r="T60" s="5" t="s">
        <v>185</v>
      </c>
      <c r="U60" s="5" t="s">
        <v>209</v>
      </c>
      <c r="V60" s="5" t="s">
        <v>42</v>
      </c>
      <c r="W60" s="6">
        <v>100360</v>
      </c>
      <c r="Y60" s="5" t="s">
        <v>62</v>
      </c>
      <c r="Z60" s="6">
        <v>32449590</v>
      </c>
      <c r="AB60" s="5" t="s">
        <v>62</v>
      </c>
      <c r="AC60" s="5" t="s">
        <v>62</v>
      </c>
      <c r="AD60" s="5" t="s">
        <v>62</v>
      </c>
      <c r="AE60" s="6">
        <v>32449590</v>
      </c>
      <c r="AG60" t="b">
        <f t="shared" si="1"/>
        <v>1</v>
      </c>
    </row>
    <row r="61" spans="12:35" x14ac:dyDescent="0.3">
      <c r="L61" s="5" t="s">
        <v>66</v>
      </c>
      <c r="M61" s="6">
        <v>1772805680</v>
      </c>
      <c r="O61" s="5" t="s">
        <v>66</v>
      </c>
      <c r="P61" s="6">
        <v>1772805680</v>
      </c>
      <c r="R61" t="b">
        <f t="shared" si="0"/>
        <v>1</v>
      </c>
      <c r="T61" s="5" t="s">
        <v>185</v>
      </c>
      <c r="U61" s="5" t="s">
        <v>209</v>
      </c>
      <c r="V61" s="5" t="s">
        <v>42</v>
      </c>
      <c r="W61" s="6">
        <v>76100</v>
      </c>
      <c r="Y61" s="5" t="s">
        <v>63</v>
      </c>
      <c r="Z61" s="6">
        <v>59656720</v>
      </c>
      <c r="AB61" s="5" t="s">
        <v>63</v>
      </c>
      <c r="AC61" s="5" t="s">
        <v>63</v>
      </c>
      <c r="AD61" s="5" t="s">
        <v>63</v>
      </c>
      <c r="AE61" s="6">
        <v>59656720</v>
      </c>
      <c r="AG61" t="b">
        <f t="shared" si="1"/>
        <v>1</v>
      </c>
    </row>
    <row r="62" spans="12:35" x14ac:dyDescent="0.3">
      <c r="L62" s="5" t="s">
        <v>67</v>
      </c>
      <c r="M62" s="6">
        <v>52777850</v>
      </c>
      <c r="O62" s="5" t="s">
        <v>67</v>
      </c>
      <c r="P62" s="6">
        <v>52777850</v>
      </c>
      <c r="R62" t="b">
        <f t="shared" si="0"/>
        <v>1</v>
      </c>
      <c r="T62" s="5" t="s">
        <v>185</v>
      </c>
      <c r="U62" s="5" t="s">
        <v>209</v>
      </c>
      <c r="V62" s="5" t="s">
        <v>42</v>
      </c>
      <c r="W62" s="6">
        <v>65150</v>
      </c>
      <c r="Y62" s="5" t="s">
        <v>64</v>
      </c>
      <c r="Z62" s="6">
        <v>30650380</v>
      </c>
      <c r="AB62" s="5" t="s">
        <v>64</v>
      </c>
      <c r="AC62" s="5" t="s">
        <v>64</v>
      </c>
      <c r="AD62" s="5" t="s">
        <v>64</v>
      </c>
      <c r="AE62" s="6">
        <v>30650380</v>
      </c>
      <c r="AG62" t="b">
        <f t="shared" si="1"/>
        <v>1</v>
      </c>
    </row>
    <row r="63" spans="12:35" x14ac:dyDescent="0.3">
      <c r="L63" s="5" t="s">
        <v>68</v>
      </c>
      <c r="M63" s="6">
        <v>8451150</v>
      </c>
      <c r="O63" s="5" t="s">
        <v>68</v>
      </c>
      <c r="P63" s="6">
        <v>8451150</v>
      </c>
      <c r="R63" t="b">
        <f t="shared" si="0"/>
        <v>1</v>
      </c>
      <c r="T63" s="5" t="s">
        <v>185</v>
      </c>
      <c r="U63" s="5" t="s">
        <v>209</v>
      </c>
      <c r="V63" s="5" t="s">
        <v>42</v>
      </c>
      <c r="W63" s="6">
        <v>296900</v>
      </c>
      <c r="Y63" s="5" t="s">
        <v>65</v>
      </c>
      <c r="Z63" s="6">
        <v>131234440</v>
      </c>
      <c r="AB63" s="5" t="s">
        <v>65</v>
      </c>
      <c r="AC63" s="5" t="s">
        <v>65</v>
      </c>
      <c r="AD63" s="5" t="s">
        <v>65</v>
      </c>
      <c r="AE63" s="6">
        <v>131234440</v>
      </c>
      <c r="AG63" t="b">
        <f t="shared" si="1"/>
        <v>1</v>
      </c>
    </row>
    <row r="64" spans="12:35" x14ac:dyDescent="0.3">
      <c r="L64" s="5" t="s">
        <v>69</v>
      </c>
      <c r="M64" s="6">
        <v>9583850</v>
      </c>
      <c r="O64" s="5" t="s">
        <v>69</v>
      </c>
      <c r="P64" s="6">
        <v>9583850</v>
      </c>
      <c r="R64" t="b">
        <f t="shared" si="0"/>
        <v>1</v>
      </c>
      <c r="T64" s="5" t="s">
        <v>185</v>
      </c>
      <c r="U64" s="5" t="s">
        <v>209</v>
      </c>
      <c r="V64" s="5" t="s">
        <v>42</v>
      </c>
      <c r="W64" s="6">
        <v>41330</v>
      </c>
      <c r="Y64" s="5" t="s">
        <v>66</v>
      </c>
      <c r="Z64" s="6">
        <v>5269000</v>
      </c>
      <c r="AB64" s="5" t="s">
        <v>66</v>
      </c>
      <c r="AC64" s="5" t="s">
        <v>66</v>
      </c>
      <c r="AD64" s="5" t="s">
        <v>66</v>
      </c>
      <c r="AE64" s="6">
        <v>5269000</v>
      </c>
      <c r="AG64" t="b">
        <f t="shared" si="1"/>
        <v>1</v>
      </c>
    </row>
    <row r="65" spans="12:33" x14ac:dyDescent="0.3">
      <c r="L65" s="5" t="s">
        <v>70</v>
      </c>
      <c r="M65" s="6">
        <v>9537650</v>
      </c>
      <c r="O65" s="5" t="s">
        <v>70</v>
      </c>
      <c r="P65" s="6">
        <v>9537650</v>
      </c>
      <c r="R65" t="b">
        <f t="shared" si="0"/>
        <v>1</v>
      </c>
      <c r="T65" s="5" t="s">
        <v>185</v>
      </c>
      <c r="U65" s="5" t="s">
        <v>209</v>
      </c>
      <c r="V65" s="5" t="s">
        <v>42</v>
      </c>
      <c r="W65" s="6">
        <v>153410</v>
      </c>
      <c r="Y65" s="5" t="s">
        <v>223</v>
      </c>
      <c r="Z65" s="6">
        <v>7663110</v>
      </c>
      <c r="AB65" s="5" t="s">
        <v>223</v>
      </c>
      <c r="AC65" s="5" t="s">
        <v>223</v>
      </c>
      <c r="AD65" s="5" t="s">
        <v>223</v>
      </c>
      <c r="AE65" s="6">
        <v>7663110</v>
      </c>
      <c r="AG65" t="b">
        <f t="shared" si="1"/>
        <v>1</v>
      </c>
    </row>
    <row r="66" spans="12:33" x14ac:dyDescent="0.3">
      <c r="L66" s="5" t="s">
        <v>71</v>
      </c>
      <c r="M66" s="6">
        <v>16732480</v>
      </c>
      <c r="O66" s="5" t="s">
        <v>71</v>
      </c>
      <c r="P66" s="6">
        <v>16732480</v>
      </c>
      <c r="R66" t="b">
        <f t="shared" si="0"/>
        <v>1</v>
      </c>
      <c r="T66" s="5" t="s">
        <v>185</v>
      </c>
      <c r="U66" s="5" t="s">
        <v>209</v>
      </c>
      <c r="V66" s="5" t="s">
        <v>42</v>
      </c>
      <c r="W66" s="6">
        <v>98760</v>
      </c>
      <c r="Y66" s="5" t="s">
        <v>224</v>
      </c>
      <c r="Z66" s="6">
        <v>16243270</v>
      </c>
      <c r="AB66" s="5" t="s">
        <v>224</v>
      </c>
      <c r="AC66" s="5" t="s">
        <v>224</v>
      </c>
      <c r="AD66" s="5" t="s">
        <v>224</v>
      </c>
      <c r="AE66" s="6">
        <v>16243270</v>
      </c>
      <c r="AG66" t="b">
        <f t="shared" si="1"/>
        <v>1</v>
      </c>
    </row>
    <row r="67" spans="12:33" x14ac:dyDescent="0.3">
      <c r="L67" s="5" t="s">
        <v>72</v>
      </c>
      <c r="M67" s="6">
        <v>30880350</v>
      </c>
      <c r="O67" s="5" t="s">
        <v>72</v>
      </c>
      <c r="P67" s="6">
        <v>30880350</v>
      </c>
      <c r="R67" t="b">
        <f t="shared" si="0"/>
        <v>1</v>
      </c>
      <c r="T67" s="5" t="s">
        <v>186</v>
      </c>
      <c r="U67" s="5" t="s">
        <v>208</v>
      </c>
      <c r="V67" s="5" t="s">
        <v>42</v>
      </c>
      <c r="W67" s="6">
        <v>269250</v>
      </c>
      <c r="Y67" s="5" t="s">
        <v>225</v>
      </c>
      <c r="Z67" s="6">
        <v>10049710</v>
      </c>
      <c r="AB67" s="5" t="s">
        <v>225</v>
      </c>
      <c r="AC67" s="5" t="s">
        <v>225</v>
      </c>
      <c r="AD67" s="5" t="s">
        <v>225</v>
      </c>
      <c r="AE67" s="6">
        <v>10049710</v>
      </c>
      <c r="AG67" t="b">
        <f t="shared" si="1"/>
        <v>1</v>
      </c>
    </row>
    <row r="68" spans="12:33" x14ac:dyDescent="0.3">
      <c r="L68" s="5" t="s">
        <v>73</v>
      </c>
      <c r="M68" s="6">
        <v>74648560</v>
      </c>
      <c r="O68" s="5" t="s">
        <v>73</v>
      </c>
      <c r="P68" s="6">
        <v>74648560</v>
      </c>
      <c r="R68" t="b">
        <f t="shared" si="0"/>
        <v>1</v>
      </c>
      <c r="T68" s="5" t="s">
        <v>186</v>
      </c>
      <c r="U68" s="5" t="s">
        <v>210</v>
      </c>
      <c r="V68" s="5" t="s">
        <v>42</v>
      </c>
      <c r="W68" s="6">
        <v>2379560</v>
      </c>
      <c r="Y68" s="5" t="s">
        <v>226</v>
      </c>
      <c r="Z68" s="6">
        <v>12021780</v>
      </c>
      <c r="AB68" s="5" t="s">
        <v>226</v>
      </c>
      <c r="AC68" s="5" t="s">
        <v>226</v>
      </c>
      <c r="AD68" s="5" t="s">
        <v>226</v>
      </c>
      <c r="AE68" s="6">
        <v>12021780</v>
      </c>
      <c r="AG68" t="b">
        <f t="shared" si="1"/>
        <v>1</v>
      </c>
    </row>
    <row r="69" spans="12:33" x14ac:dyDescent="0.3">
      <c r="L69" s="5" t="s">
        <v>74</v>
      </c>
      <c r="M69" s="6">
        <v>289249500</v>
      </c>
      <c r="O69" s="5" t="s">
        <v>74</v>
      </c>
      <c r="P69" s="6">
        <v>289249500</v>
      </c>
      <c r="R69" t="b">
        <f t="shared" si="0"/>
        <v>1</v>
      </c>
      <c r="T69" s="5" t="s">
        <v>187</v>
      </c>
      <c r="U69" s="5" t="s">
        <v>208</v>
      </c>
      <c r="V69" s="5" t="s">
        <v>42</v>
      </c>
      <c r="W69" s="6">
        <v>2796440</v>
      </c>
      <c r="Y69" s="5" t="s">
        <v>67</v>
      </c>
      <c r="Z69" s="6">
        <v>512897030</v>
      </c>
      <c r="AB69" s="5" t="s">
        <v>67</v>
      </c>
      <c r="AC69" s="5" t="s">
        <v>67</v>
      </c>
      <c r="AD69" s="5" t="s">
        <v>67</v>
      </c>
      <c r="AE69" s="6">
        <v>512897030</v>
      </c>
      <c r="AG69" t="b">
        <f t="shared" si="1"/>
        <v>1</v>
      </c>
    </row>
    <row r="70" spans="12:33" x14ac:dyDescent="0.3">
      <c r="L70" s="5" t="s">
        <v>75</v>
      </c>
      <c r="M70" s="6">
        <v>108937290</v>
      </c>
      <c r="O70" s="5" t="s">
        <v>75</v>
      </c>
      <c r="P70" s="6">
        <v>108937290</v>
      </c>
      <c r="R70" t="b">
        <f t="shared" si="0"/>
        <v>1</v>
      </c>
      <c r="T70" s="5" t="s">
        <v>187</v>
      </c>
      <c r="U70" s="5" t="s">
        <v>210</v>
      </c>
      <c r="V70" s="5" t="s">
        <v>42</v>
      </c>
      <c r="W70" s="6">
        <v>387650</v>
      </c>
      <c r="Y70" s="5" t="s">
        <v>227</v>
      </c>
      <c r="Z70" s="6">
        <v>268718760</v>
      </c>
      <c r="AB70" s="5" t="s">
        <v>227</v>
      </c>
      <c r="AC70" s="5" t="s">
        <v>227</v>
      </c>
      <c r="AD70" s="5" t="s">
        <v>227</v>
      </c>
      <c r="AE70" s="6">
        <v>268718760</v>
      </c>
      <c r="AG70" t="b">
        <f t="shared" si="1"/>
        <v>1</v>
      </c>
    </row>
    <row r="71" spans="12:33" x14ac:dyDescent="0.3">
      <c r="L71" s="5" t="s">
        <v>76</v>
      </c>
      <c r="M71" s="6">
        <v>108230980</v>
      </c>
      <c r="O71" s="5" t="s">
        <v>76</v>
      </c>
      <c r="P71" s="6">
        <v>108230980</v>
      </c>
      <c r="R71" t="b">
        <f t="shared" si="0"/>
        <v>1</v>
      </c>
      <c r="T71" s="5" t="s">
        <v>188</v>
      </c>
      <c r="U71" s="5" t="s">
        <v>208</v>
      </c>
      <c r="V71" s="5" t="s">
        <v>42</v>
      </c>
      <c r="W71" s="6">
        <v>798540</v>
      </c>
      <c r="Y71" s="5" t="s">
        <v>68</v>
      </c>
      <c r="Z71" s="6">
        <v>10978280</v>
      </c>
      <c r="AB71" s="5" t="s">
        <v>68</v>
      </c>
      <c r="AC71" s="5" t="s">
        <v>68</v>
      </c>
      <c r="AD71" s="5" t="s">
        <v>68</v>
      </c>
      <c r="AE71" s="6">
        <v>10978280</v>
      </c>
      <c r="AG71" t="b">
        <f t="shared" si="1"/>
        <v>1</v>
      </c>
    </row>
    <row r="72" spans="12:33" x14ac:dyDescent="0.3">
      <c r="L72" s="5" t="s">
        <v>77</v>
      </c>
      <c r="M72" s="6">
        <v>130311570</v>
      </c>
      <c r="O72" s="5" t="s">
        <v>77</v>
      </c>
      <c r="P72" s="6">
        <v>130311570</v>
      </c>
      <c r="R72" t="b">
        <f t="shared" si="0"/>
        <v>1</v>
      </c>
      <c r="T72" s="5" t="s">
        <v>188</v>
      </c>
      <c r="U72" s="5" t="s">
        <v>210</v>
      </c>
      <c r="V72" s="5" t="s">
        <v>42</v>
      </c>
      <c r="W72" s="6">
        <v>746660</v>
      </c>
      <c r="Y72" s="5" t="s">
        <v>69</v>
      </c>
      <c r="Z72" s="6">
        <v>87176940</v>
      </c>
      <c r="AB72" s="5" t="s">
        <v>69</v>
      </c>
      <c r="AC72" s="5" t="s">
        <v>69</v>
      </c>
      <c r="AD72" s="5" t="s">
        <v>69</v>
      </c>
      <c r="AE72" s="6">
        <v>87176940</v>
      </c>
      <c r="AG72" t="b">
        <f t="shared" si="1"/>
        <v>1</v>
      </c>
    </row>
    <row r="73" spans="12:33" x14ac:dyDescent="0.3">
      <c r="L73" s="5" t="s">
        <v>78</v>
      </c>
      <c r="M73" s="6">
        <v>63504870</v>
      </c>
      <c r="O73" s="5" t="s">
        <v>78</v>
      </c>
      <c r="P73" s="6">
        <v>63504870</v>
      </c>
      <c r="R73" t="b">
        <f t="shared" si="0"/>
        <v>1</v>
      </c>
      <c r="T73" s="5" t="s">
        <v>189</v>
      </c>
      <c r="U73" s="5" t="s">
        <v>210</v>
      </c>
      <c r="V73" s="5" t="s">
        <v>42</v>
      </c>
      <c r="W73" s="6">
        <v>87320</v>
      </c>
      <c r="Y73" s="5" t="s">
        <v>70</v>
      </c>
      <c r="Z73" s="6">
        <v>8502030</v>
      </c>
      <c r="AB73" s="5" t="s">
        <v>70</v>
      </c>
      <c r="AC73" s="5" t="s">
        <v>70</v>
      </c>
      <c r="AD73" s="5" t="s">
        <v>70</v>
      </c>
      <c r="AE73" s="6">
        <v>8502030</v>
      </c>
      <c r="AG73" t="b">
        <f t="shared" si="1"/>
        <v>1</v>
      </c>
    </row>
    <row r="74" spans="12:33" x14ac:dyDescent="0.3">
      <c r="L74" s="5" t="s">
        <v>79</v>
      </c>
      <c r="M74" s="6">
        <v>396757640</v>
      </c>
      <c r="O74" s="5" t="s">
        <v>79</v>
      </c>
      <c r="P74" s="6">
        <v>396757640</v>
      </c>
      <c r="R74" t="b">
        <f t="shared" si="0"/>
        <v>1</v>
      </c>
      <c r="T74" s="5" t="s">
        <v>189</v>
      </c>
      <c r="U74" s="5" t="s">
        <v>208</v>
      </c>
      <c r="V74" s="5" t="s">
        <v>42</v>
      </c>
      <c r="W74" s="6">
        <v>74894330</v>
      </c>
      <c r="Y74" s="5" t="s">
        <v>71</v>
      </c>
      <c r="Z74" s="6">
        <v>1046487710</v>
      </c>
      <c r="AB74" s="5" t="s">
        <v>71</v>
      </c>
      <c r="AC74" s="5" t="s">
        <v>71</v>
      </c>
      <c r="AD74" s="5" t="s">
        <v>71</v>
      </c>
      <c r="AE74" s="6">
        <v>1046487710</v>
      </c>
      <c r="AG74" t="b">
        <f t="shared" si="1"/>
        <v>1</v>
      </c>
    </row>
    <row r="75" spans="12:33" x14ac:dyDescent="0.3">
      <c r="L75" s="5" t="s">
        <v>80</v>
      </c>
      <c r="M75" s="6">
        <v>1530507890</v>
      </c>
      <c r="O75" s="5" t="s">
        <v>80</v>
      </c>
      <c r="P75" s="6">
        <v>1530507890</v>
      </c>
      <c r="R75" t="b">
        <f t="shared" si="0"/>
        <v>1</v>
      </c>
      <c r="T75" s="5" t="s">
        <v>189</v>
      </c>
      <c r="U75" s="5" t="s">
        <v>208</v>
      </c>
      <c r="V75" s="5" t="s">
        <v>42</v>
      </c>
      <c r="W75" s="6">
        <v>1311420</v>
      </c>
      <c r="Y75" s="5" t="s">
        <v>72</v>
      </c>
      <c r="Z75" s="6">
        <v>23639950</v>
      </c>
      <c r="AB75" s="5" t="s">
        <v>72</v>
      </c>
      <c r="AC75" s="5" t="s">
        <v>72</v>
      </c>
      <c r="AD75" s="5" t="s">
        <v>72</v>
      </c>
      <c r="AE75" s="6">
        <v>23639950</v>
      </c>
      <c r="AG75" t="b">
        <f t="shared" si="1"/>
        <v>1</v>
      </c>
    </row>
    <row r="76" spans="12:33" x14ac:dyDescent="0.3">
      <c r="L76" s="5" t="s">
        <v>81</v>
      </c>
      <c r="M76" s="6">
        <v>4706000000</v>
      </c>
      <c r="O76" s="5" t="s">
        <v>81</v>
      </c>
      <c r="P76" s="6">
        <v>4706000000</v>
      </c>
      <c r="R76" t="b">
        <f t="shared" si="0"/>
        <v>1</v>
      </c>
      <c r="T76" s="5" t="s">
        <v>189</v>
      </c>
      <c r="U76" s="5" t="s">
        <v>208</v>
      </c>
      <c r="V76" s="5" t="s">
        <v>42</v>
      </c>
      <c r="W76" s="6">
        <v>154580</v>
      </c>
      <c r="Y76" s="5" t="s">
        <v>73</v>
      </c>
      <c r="Z76" s="6">
        <v>61944700</v>
      </c>
      <c r="AB76" s="5" t="s">
        <v>73</v>
      </c>
      <c r="AC76" s="5" t="s">
        <v>73</v>
      </c>
      <c r="AD76" s="5" t="s">
        <v>73</v>
      </c>
      <c r="AE76" s="6">
        <v>61944700</v>
      </c>
      <c r="AG76" t="b">
        <f t="shared" si="1"/>
        <v>1</v>
      </c>
    </row>
    <row r="77" spans="12:33" x14ac:dyDescent="0.3">
      <c r="L77" s="5" t="s">
        <v>82</v>
      </c>
      <c r="M77" s="6">
        <v>64770900</v>
      </c>
      <c r="O77" s="5" t="s">
        <v>82</v>
      </c>
      <c r="P77" s="6">
        <v>64770900</v>
      </c>
      <c r="R77" t="b">
        <f t="shared" si="0"/>
        <v>1</v>
      </c>
      <c r="T77" s="5" t="s">
        <v>189</v>
      </c>
      <c r="U77" s="5" t="s">
        <v>208</v>
      </c>
      <c r="V77" s="5" t="s">
        <v>42</v>
      </c>
      <c r="W77" s="6">
        <v>1406810</v>
      </c>
      <c r="Y77" s="5" t="s">
        <v>74</v>
      </c>
      <c r="Z77" s="6">
        <v>281799720</v>
      </c>
      <c r="AB77" s="5" t="s">
        <v>74</v>
      </c>
      <c r="AC77" s="5" t="s">
        <v>74</v>
      </c>
      <c r="AD77" s="5" t="s">
        <v>74</v>
      </c>
      <c r="AE77" s="6">
        <v>281799720</v>
      </c>
      <c r="AG77" t="b">
        <f t="shared" si="1"/>
        <v>1</v>
      </c>
    </row>
    <row r="78" spans="12:33" x14ac:dyDescent="0.3">
      <c r="L78" s="5" t="s">
        <v>83</v>
      </c>
      <c r="M78" s="6">
        <v>19575725</v>
      </c>
      <c r="O78" s="5" t="s">
        <v>83</v>
      </c>
      <c r="P78" s="6">
        <v>19575725</v>
      </c>
      <c r="R78" t="b">
        <f t="shared" si="0"/>
        <v>1</v>
      </c>
      <c r="T78" s="5" t="s">
        <v>189</v>
      </c>
      <c r="U78" s="5" t="s">
        <v>210</v>
      </c>
      <c r="V78" s="5" t="s">
        <v>42</v>
      </c>
      <c r="W78" s="6">
        <v>1400770</v>
      </c>
      <c r="Y78" s="5" t="s">
        <v>75</v>
      </c>
      <c r="Z78" s="6">
        <v>97694980</v>
      </c>
      <c r="AB78" s="5" t="s">
        <v>75</v>
      </c>
      <c r="AC78" s="5" t="s">
        <v>75</v>
      </c>
      <c r="AD78" s="5" t="s">
        <v>75</v>
      </c>
      <c r="AE78" s="6">
        <v>97694980</v>
      </c>
      <c r="AG78" t="b">
        <f t="shared" si="1"/>
        <v>1</v>
      </c>
    </row>
    <row r="79" spans="12:33" x14ac:dyDescent="0.3">
      <c r="L79" s="5" t="s">
        <v>84</v>
      </c>
      <c r="M79" s="6">
        <v>29537110</v>
      </c>
      <c r="O79" s="5" t="s">
        <v>84</v>
      </c>
      <c r="P79" s="6">
        <v>29537110</v>
      </c>
      <c r="R79" t="b">
        <f t="shared" si="0"/>
        <v>1</v>
      </c>
      <c r="T79" s="5" t="s">
        <v>189</v>
      </c>
      <c r="U79" s="5" t="s">
        <v>210</v>
      </c>
      <c r="V79" s="5" t="s">
        <v>42</v>
      </c>
      <c r="W79" s="6">
        <v>634760</v>
      </c>
      <c r="Y79" s="5" t="s">
        <v>76</v>
      </c>
      <c r="Z79" s="6">
        <v>35060780</v>
      </c>
      <c r="AB79" s="5" t="s">
        <v>76</v>
      </c>
      <c r="AC79" s="5" t="s">
        <v>76</v>
      </c>
      <c r="AD79" s="5" t="s">
        <v>76</v>
      </c>
      <c r="AE79" s="6">
        <v>35060780</v>
      </c>
      <c r="AG79" t="b">
        <f t="shared" si="1"/>
        <v>1</v>
      </c>
    </row>
    <row r="80" spans="12:33" x14ac:dyDescent="0.3">
      <c r="L80" s="5" t="s">
        <v>85</v>
      </c>
      <c r="M80" s="6">
        <v>38261007</v>
      </c>
      <c r="O80" s="5" t="s">
        <v>85</v>
      </c>
      <c r="P80" s="6">
        <v>38261007</v>
      </c>
      <c r="R80" t="b">
        <f t="shared" si="0"/>
        <v>1</v>
      </c>
      <c r="T80" s="5" t="s">
        <v>190</v>
      </c>
      <c r="U80" s="5" t="s">
        <v>208</v>
      </c>
      <c r="V80" s="5" t="s">
        <v>42</v>
      </c>
      <c r="W80" s="6">
        <v>2213080</v>
      </c>
      <c r="Y80" s="5" t="s">
        <v>77</v>
      </c>
      <c r="Z80" s="6">
        <v>121544760</v>
      </c>
      <c r="AB80" s="5" t="s">
        <v>77</v>
      </c>
      <c r="AC80" s="5" t="s">
        <v>77</v>
      </c>
      <c r="AD80" s="5" t="s">
        <v>77</v>
      </c>
      <c r="AE80" s="6">
        <v>121544760</v>
      </c>
      <c r="AG80" t="b">
        <f t="shared" si="1"/>
        <v>1</v>
      </c>
    </row>
    <row r="81" spans="12:33" x14ac:dyDescent="0.3">
      <c r="L81" s="5" t="s">
        <v>86</v>
      </c>
      <c r="M81" s="6">
        <v>295654048</v>
      </c>
      <c r="O81" s="5" t="s">
        <v>86</v>
      </c>
      <c r="P81" s="6">
        <v>295654048</v>
      </c>
      <c r="R81" t="b">
        <f t="shared" si="0"/>
        <v>1</v>
      </c>
      <c r="T81" s="5" t="s">
        <v>190</v>
      </c>
      <c r="U81" s="5" t="s">
        <v>210</v>
      </c>
      <c r="V81" s="5" t="s">
        <v>42</v>
      </c>
      <c r="W81" s="6">
        <v>578880</v>
      </c>
      <c r="Y81" s="5" t="s">
        <v>78</v>
      </c>
      <c r="Z81" s="6">
        <v>53570300</v>
      </c>
      <c r="AB81" s="5" t="s">
        <v>78</v>
      </c>
      <c r="AC81" s="5" t="s">
        <v>78</v>
      </c>
      <c r="AD81" s="5" t="s">
        <v>78</v>
      </c>
      <c r="AE81" s="6">
        <v>53570300</v>
      </c>
      <c r="AG81" t="b">
        <f t="shared" si="1"/>
        <v>1</v>
      </c>
    </row>
    <row r="82" spans="12:33" x14ac:dyDescent="0.3">
      <c r="L82" s="5" t="s">
        <v>87</v>
      </c>
      <c r="M82" s="6">
        <v>115093924</v>
      </c>
      <c r="O82" s="5" t="s">
        <v>87</v>
      </c>
      <c r="P82" s="6">
        <v>115093924</v>
      </c>
      <c r="R82" t="b">
        <f t="shared" si="0"/>
        <v>1</v>
      </c>
      <c r="T82" s="5" t="s">
        <v>195</v>
      </c>
      <c r="U82" s="5" t="s">
        <v>208</v>
      </c>
      <c r="V82" s="5" t="s">
        <v>42</v>
      </c>
      <c r="W82" s="6">
        <v>3766240</v>
      </c>
      <c r="Y82" s="5" t="s">
        <v>79</v>
      </c>
      <c r="Z82" s="6">
        <v>308431270</v>
      </c>
      <c r="AB82" s="5" t="s">
        <v>79</v>
      </c>
      <c r="AC82" s="5" t="s">
        <v>79</v>
      </c>
      <c r="AD82" s="5" t="s">
        <v>79</v>
      </c>
      <c r="AE82" s="6">
        <v>308431270</v>
      </c>
      <c r="AG82" t="b">
        <f t="shared" si="1"/>
        <v>1</v>
      </c>
    </row>
    <row r="83" spans="12:33" x14ac:dyDescent="0.3">
      <c r="L83" s="5" t="s">
        <v>88</v>
      </c>
      <c r="M83" s="6">
        <v>38297022</v>
      </c>
      <c r="O83" s="5" t="s">
        <v>88</v>
      </c>
      <c r="P83" s="6">
        <v>38297022</v>
      </c>
      <c r="R83" t="b">
        <f t="shared" si="0"/>
        <v>1</v>
      </c>
      <c r="T83" s="5" t="s">
        <v>195</v>
      </c>
      <c r="U83" s="5" t="s">
        <v>210</v>
      </c>
      <c r="V83" s="5" t="s">
        <v>42</v>
      </c>
      <c r="W83" s="6">
        <v>884950</v>
      </c>
      <c r="Y83" s="5" t="s">
        <v>80</v>
      </c>
      <c r="Z83" s="6">
        <v>8538050</v>
      </c>
      <c r="AB83" s="5" t="s">
        <v>80</v>
      </c>
      <c r="AC83" s="5" t="s">
        <v>80</v>
      </c>
      <c r="AD83" s="5" t="s">
        <v>80</v>
      </c>
      <c r="AE83" s="6">
        <v>8538050</v>
      </c>
      <c r="AG83" t="b">
        <f t="shared" si="1"/>
        <v>1</v>
      </c>
    </row>
    <row r="84" spans="12:33" x14ac:dyDescent="0.3">
      <c r="L84" s="5" t="s">
        <v>89</v>
      </c>
      <c r="M84" s="6">
        <v>35811580</v>
      </c>
      <c r="O84" s="5" t="s">
        <v>89</v>
      </c>
      <c r="P84" s="6">
        <v>35811580</v>
      </c>
      <c r="R84" t="b">
        <f t="shared" si="0"/>
        <v>1</v>
      </c>
      <c r="T84" s="5" t="s">
        <v>196</v>
      </c>
      <c r="U84" s="5" t="s">
        <v>208</v>
      </c>
      <c r="V84" s="5" t="s">
        <v>42</v>
      </c>
      <c r="W84" s="6">
        <v>1557350</v>
      </c>
      <c r="Y84" s="5" t="s">
        <v>228</v>
      </c>
      <c r="Z84" s="6">
        <v>20105490</v>
      </c>
      <c r="AB84" s="5" t="s">
        <v>228</v>
      </c>
      <c r="AC84" s="5" t="s">
        <v>228</v>
      </c>
      <c r="AD84" s="5" t="s">
        <v>228</v>
      </c>
      <c r="AE84" s="6">
        <v>20105490</v>
      </c>
      <c r="AG84" t="b">
        <f t="shared" si="1"/>
        <v>1</v>
      </c>
    </row>
    <row r="85" spans="12:33" x14ac:dyDescent="0.3">
      <c r="L85" s="5" t="s">
        <v>90</v>
      </c>
      <c r="M85" s="6">
        <v>105774709</v>
      </c>
      <c r="O85" s="5" t="s">
        <v>90</v>
      </c>
      <c r="P85" s="6">
        <v>105774709</v>
      </c>
      <c r="R85" t="b">
        <f t="shared" si="0"/>
        <v>1</v>
      </c>
      <c r="T85" s="5" t="s">
        <v>196</v>
      </c>
      <c r="U85" s="5" t="s">
        <v>210</v>
      </c>
      <c r="V85" s="5" t="s">
        <v>42</v>
      </c>
      <c r="W85" s="6">
        <v>1008430</v>
      </c>
      <c r="Y85" s="5" t="s">
        <v>229</v>
      </c>
      <c r="Z85" s="6">
        <v>9179240</v>
      </c>
      <c r="AB85" s="5" t="s">
        <v>229</v>
      </c>
      <c r="AC85" s="5" t="s">
        <v>229</v>
      </c>
      <c r="AD85" s="5" t="s">
        <v>229</v>
      </c>
      <c r="AE85" s="6">
        <v>9179240</v>
      </c>
      <c r="AG85" t="b">
        <f t="shared" si="1"/>
        <v>1</v>
      </c>
    </row>
    <row r="86" spans="12:33" x14ac:dyDescent="0.3">
      <c r="L86" s="5" t="s">
        <v>91</v>
      </c>
      <c r="M86" s="6">
        <v>49971160</v>
      </c>
      <c r="O86" s="5" t="s">
        <v>91</v>
      </c>
      <c r="P86" s="6">
        <v>49971160</v>
      </c>
      <c r="R86" t="b">
        <f t="shared" si="0"/>
        <v>1</v>
      </c>
      <c r="T86" s="5" t="s">
        <v>196</v>
      </c>
      <c r="U86" s="5" t="s">
        <v>211</v>
      </c>
      <c r="V86" s="5" t="s">
        <v>42</v>
      </c>
      <c r="W86" s="6">
        <v>18740030</v>
      </c>
      <c r="Y86" s="5" t="s">
        <v>230</v>
      </c>
      <c r="Z86" s="6">
        <v>14753390</v>
      </c>
      <c r="AB86" s="5" t="s">
        <v>230</v>
      </c>
      <c r="AC86" s="5" t="s">
        <v>230</v>
      </c>
      <c r="AD86" s="5" t="s">
        <v>230</v>
      </c>
      <c r="AE86" s="6">
        <v>14753390</v>
      </c>
      <c r="AG86" t="b">
        <f t="shared" si="1"/>
        <v>1</v>
      </c>
    </row>
    <row r="87" spans="12:33" x14ac:dyDescent="0.3">
      <c r="L87" s="5" t="s">
        <v>92</v>
      </c>
      <c r="M87" s="6">
        <v>8308429220</v>
      </c>
      <c r="O87" s="5" t="s">
        <v>92</v>
      </c>
      <c r="P87" s="6">
        <v>8308429220</v>
      </c>
      <c r="R87" t="b">
        <f t="shared" si="0"/>
        <v>1</v>
      </c>
      <c r="T87" s="5" t="s">
        <v>197</v>
      </c>
      <c r="U87" s="5" t="s">
        <v>212</v>
      </c>
      <c r="V87" s="5" t="s">
        <v>42</v>
      </c>
      <c r="W87" s="6">
        <v>53962660</v>
      </c>
      <c r="Y87" s="5" t="s">
        <v>231</v>
      </c>
      <c r="Z87" s="6">
        <v>82780890</v>
      </c>
      <c r="AB87" s="5" t="s">
        <v>231</v>
      </c>
      <c r="AC87" s="5" t="s">
        <v>231</v>
      </c>
      <c r="AD87" s="5" t="s">
        <v>231</v>
      </c>
      <c r="AE87" s="6">
        <v>82780890</v>
      </c>
      <c r="AG87" t="b">
        <f t="shared" si="1"/>
        <v>1</v>
      </c>
    </row>
    <row r="88" spans="12:33" x14ac:dyDescent="0.3">
      <c r="L88" s="5" t="s">
        <v>93</v>
      </c>
      <c r="M88" s="6">
        <v>10899088541</v>
      </c>
      <c r="O88" s="5" t="s">
        <v>93</v>
      </c>
      <c r="P88" s="6">
        <v>10899088541</v>
      </c>
      <c r="R88" t="b">
        <f t="shared" si="0"/>
        <v>1</v>
      </c>
      <c r="T88" s="5" t="s">
        <v>197</v>
      </c>
      <c r="U88" s="5" t="s">
        <v>208</v>
      </c>
      <c r="V88" s="5" t="s">
        <v>42</v>
      </c>
      <c r="W88" s="6">
        <v>1157620</v>
      </c>
      <c r="Y88" s="5" t="s">
        <v>81</v>
      </c>
      <c r="Z88" s="6">
        <v>4706000000</v>
      </c>
      <c r="AB88" s="5" t="s">
        <v>81</v>
      </c>
      <c r="AC88" s="5" t="s">
        <v>81</v>
      </c>
      <c r="AD88" s="5" t="s">
        <v>81</v>
      </c>
      <c r="AE88" s="6">
        <v>4706000000</v>
      </c>
      <c r="AG88" t="b">
        <f t="shared" si="1"/>
        <v>1</v>
      </c>
    </row>
    <row r="89" spans="12:33" x14ac:dyDescent="0.3">
      <c r="L89" s="5" t="s">
        <v>94</v>
      </c>
      <c r="M89" s="6">
        <v>48202150</v>
      </c>
      <c r="O89" s="5" t="s">
        <v>94</v>
      </c>
      <c r="P89" s="6">
        <v>48202150</v>
      </c>
      <c r="R89" t="b">
        <f t="shared" si="0"/>
        <v>1</v>
      </c>
      <c r="T89" s="5" t="s">
        <v>197</v>
      </c>
      <c r="U89" s="5" t="s">
        <v>210</v>
      </c>
      <c r="V89" s="5" t="s">
        <v>42</v>
      </c>
      <c r="W89" s="6">
        <v>1294210</v>
      </c>
      <c r="Y89" s="5" t="s">
        <v>82</v>
      </c>
      <c r="Z89" s="6">
        <v>337584730</v>
      </c>
      <c r="AB89" s="5" t="s">
        <v>82</v>
      </c>
      <c r="AC89" s="5" t="s">
        <v>82</v>
      </c>
      <c r="AD89" s="5" t="s">
        <v>82</v>
      </c>
      <c r="AE89" s="6">
        <v>337584730</v>
      </c>
      <c r="AG89" t="b">
        <f t="shared" si="1"/>
        <v>1</v>
      </c>
    </row>
    <row r="90" spans="12:33" x14ac:dyDescent="0.3">
      <c r="L90" s="5" t="s">
        <v>95</v>
      </c>
      <c r="M90" s="6">
        <v>1732562240</v>
      </c>
      <c r="O90" s="5" t="s">
        <v>95</v>
      </c>
      <c r="P90" s="6">
        <v>1732562240</v>
      </c>
      <c r="R90" t="b">
        <f t="shared" si="0"/>
        <v>1</v>
      </c>
      <c r="T90" s="5" t="s">
        <v>198</v>
      </c>
      <c r="U90" s="5" t="s">
        <v>213</v>
      </c>
      <c r="V90" s="5" t="s">
        <v>42</v>
      </c>
      <c r="W90" s="6">
        <v>344280</v>
      </c>
      <c r="Y90" s="5" t="s">
        <v>232</v>
      </c>
      <c r="Z90" s="6">
        <v>221129030</v>
      </c>
      <c r="AB90" s="5" t="s">
        <v>232</v>
      </c>
      <c r="AC90" s="5" t="s">
        <v>232</v>
      </c>
      <c r="AD90" s="5" t="s">
        <v>232</v>
      </c>
      <c r="AE90" s="6">
        <v>221129030</v>
      </c>
      <c r="AG90" t="b">
        <f t="shared" si="1"/>
        <v>1</v>
      </c>
    </row>
    <row r="91" spans="12:33" x14ac:dyDescent="0.3">
      <c r="L91" s="5" t="s">
        <v>96</v>
      </c>
      <c r="M91" s="6">
        <v>86174050</v>
      </c>
      <c r="O91" s="5" t="s">
        <v>96</v>
      </c>
      <c r="P91" s="6">
        <v>86174050</v>
      </c>
      <c r="R91" t="b">
        <f t="shared" si="0"/>
        <v>1</v>
      </c>
      <c r="T91" s="5" t="s">
        <v>198</v>
      </c>
      <c r="U91" s="5" t="s">
        <v>213</v>
      </c>
      <c r="V91" s="5" t="s">
        <v>42</v>
      </c>
      <c r="W91" s="6">
        <v>916780</v>
      </c>
      <c r="Y91" s="5" t="s">
        <v>83</v>
      </c>
      <c r="Z91" s="6">
        <v>113641525</v>
      </c>
      <c r="AB91" s="5" t="s">
        <v>83</v>
      </c>
      <c r="AC91" s="5" t="s">
        <v>83</v>
      </c>
      <c r="AD91" s="5" t="s">
        <v>83</v>
      </c>
      <c r="AE91" s="6">
        <v>113641525</v>
      </c>
      <c r="AG91" t="b">
        <f t="shared" si="1"/>
        <v>1</v>
      </c>
    </row>
    <row r="92" spans="12:33" x14ac:dyDescent="0.3">
      <c r="L92" s="5" t="s">
        <v>97</v>
      </c>
      <c r="M92" s="6">
        <v>49790412</v>
      </c>
      <c r="O92" s="5" t="s">
        <v>97</v>
      </c>
      <c r="P92" s="6">
        <v>49790412</v>
      </c>
      <c r="R92" t="b">
        <f t="shared" si="0"/>
        <v>1</v>
      </c>
      <c r="T92" s="5" t="s">
        <v>198</v>
      </c>
      <c r="U92" s="5" t="s">
        <v>213</v>
      </c>
      <c r="V92" s="5" t="s">
        <v>42</v>
      </c>
      <c r="W92" s="6">
        <v>67451840</v>
      </c>
      <c r="Y92" s="5" t="s">
        <v>84</v>
      </c>
      <c r="Z92" s="6">
        <v>27237760</v>
      </c>
      <c r="AB92" s="5" t="s">
        <v>84</v>
      </c>
      <c r="AC92" s="5" t="s">
        <v>84</v>
      </c>
      <c r="AD92" s="5" t="s">
        <v>84</v>
      </c>
      <c r="AE92" s="6">
        <v>27237760</v>
      </c>
      <c r="AG92" t="b">
        <f t="shared" si="1"/>
        <v>1</v>
      </c>
    </row>
    <row r="93" spans="12:33" x14ac:dyDescent="0.3">
      <c r="L93" s="5" t="s">
        <v>98</v>
      </c>
      <c r="M93" s="6">
        <v>4075267430</v>
      </c>
      <c r="O93" s="5" t="s">
        <v>98</v>
      </c>
      <c r="P93" s="6">
        <v>4075267430</v>
      </c>
      <c r="R93" t="b">
        <f t="shared" si="0"/>
        <v>1</v>
      </c>
      <c r="T93" s="5" t="s">
        <v>198</v>
      </c>
      <c r="U93" s="5" t="s">
        <v>208</v>
      </c>
      <c r="V93" s="5" t="s">
        <v>42</v>
      </c>
      <c r="W93" s="6">
        <v>323030</v>
      </c>
      <c r="Y93" s="5" t="s">
        <v>85</v>
      </c>
      <c r="Z93" s="6">
        <v>1059367387</v>
      </c>
      <c r="AB93" s="5" t="s">
        <v>85</v>
      </c>
      <c r="AC93" s="5" t="s">
        <v>85</v>
      </c>
      <c r="AD93" s="5" t="s">
        <v>85</v>
      </c>
      <c r="AE93" s="6">
        <v>1059367387</v>
      </c>
      <c r="AG93" t="b">
        <f t="shared" si="1"/>
        <v>1</v>
      </c>
    </row>
    <row r="94" spans="12:33" x14ac:dyDescent="0.3">
      <c r="L94" s="5" t="s">
        <v>99</v>
      </c>
      <c r="M94" s="6">
        <v>102957970</v>
      </c>
      <c r="O94" s="5" t="s">
        <v>99</v>
      </c>
      <c r="P94" s="6">
        <v>102957970</v>
      </c>
      <c r="R94" t="b">
        <f t="shared" si="0"/>
        <v>1</v>
      </c>
      <c r="T94" s="5" t="s">
        <v>198</v>
      </c>
      <c r="U94" s="5" t="s">
        <v>208</v>
      </c>
      <c r="V94" s="5" t="s">
        <v>42</v>
      </c>
      <c r="W94" s="6">
        <v>304300</v>
      </c>
      <c r="Y94" s="5" t="s">
        <v>86</v>
      </c>
      <c r="Z94" s="6">
        <v>290853938</v>
      </c>
      <c r="AB94" s="5" t="s">
        <v>86</v>
      </c>
      <c r="AC94" s="5" t="s">
        <v>86</v>
      </c>
      <c r="AD94" s="5" t="s">
        <v>86</v>
      </c>
      <c r="AE94" s="6">
        <v>290853938</v>
      </c>
      <c r="AG94" t="b">
        <f t="shared" si="1"/>
        <v>1</v>
      </c>
    </row>
    <row r="95" spans="12:33" x14ac:dyDescent="0.3">
      <c r="L95" s="5" t="s">
        <v>100</v>
      </c>
      <c r="M95" s="6">
        <v>28111470</v>
      </c>
      <c r="O95" s="5" t="s">
        <v>100</v>
      </c>
      <c r="P95" s="6">
        <v>28111470</v>
      </c>
      <c r="R95" t="b">
        <f t="shared" si="0"/>
        <v>1</v>
      </c>
      <c r="T95" s="5" t="s">
        <v>198</v>
      </c>
      <c r="U95" s="5" t="s">
        <v>208</v>
      </c>
      <c r="V95" s="5" t="s">
        <v>42</v>
      </c>
      <c r="W95" s="6">
        <v>2194830</v>
      </c>
      <c r="Y95" s="5" t="s">
        <v>87</v>
      </c>
      <c r="Z95" s="6">
        <v>106620354</v>
      </c>
      <c r="AB95" s="5" t="s">
        <v>87</v>
      </c>
      <c r="AC95" s="5" t="s">
        <v>87</v>
      </c>
      <c r="AD95" s="5" t="s">
        <v>87</v>
      </c>
      <c r="AE95" s="6">
        <v>106620354</v>
      </c>
      <c r="AG95" t="b">
        <f t="shared" si="1"/>
        <v>1</v>
      </c>
    </row>
    <row r="96" spans="12:33" x14ac:dyDescent="0.3">
      <c r="L96" s="5" t="s">
        <v>101</v>
      </c>
      <c r="M96" s="6">
        <v>35024700</v>
      </c>
      <c r="O96" s="5" t="s">
        <v>101</v>
      </c>
      <c r="P96" s="6">
        <v>35024700</v>
      </c>
      <c r="R96" t="b">
        <f t="shared" si="0"/>
        <v>1</v>
      </c>
      <c r="T96" s="5" t="s">
        <v>198</v>
      </c>
      <c r="U96" s="5" t="s">
        <v>210</v>
      </c>
      <c r="V96" s="5" t="s">
        <v>42</v>
      </c>
      <c r="W96" s="6">
        <v>609740</v>
      </c>
      <c r="Y96" s="5" t="s">
        <v>88</v>
      </c>
      <c r="Z96" s="6">
        <v>34481162</v>
      </c>
      <c r="AB96" s="5" t="s">
        <v>88</v>
      </c>
      <c r="AC96" s="5" t="s">
        <v>88</v>
      </c>
      <c r="AD96" s="5" t="s">
        <v>88</v>
      </c>
      <c r="AE96" s="6">
        <v>34481162</v>
      </c>
      <c r="AG96" t="b">
        <f t="shared" si="1"/>
        <v>1</v>
      </c>
    </row>
    <row r="97" spans="12:33" x14ac:dyDescent="0.3">
      <c r="L97" s="5" t="s">
        <v>102</v>
      </c>
      <c r="M97" s="6">
        <v>58263360</v>
      </c>
      <c r="O97" s="5" t="s">
        <v>102</v>
      </c>
      <c r="P97" s="6">
        <v>58263360</v>
      </c>
      <c r="R97" t="b">
        <f t="shared" si="0"/>
        <v>1</v>
      </c>
      <c r="T97" s="5" t="s">
        <v>198</v>
      </c>
      <c r="U97" s="5" t="s">
        <v>210</v>
      </c>
      <c r="V97" s="5" t="s">
        <v>42</v>
      </c>
      <c r="W97" s="6">
        <v>219050</v>
      </c>
      <c r="Y97" s="5" t="s">
        <v>89</v>
      </c>
      <c r="Z97" s="6">
        <v>32105990</v>
      </c>
      <c r="AB97" s="5" t="s">
        <v>89</v>
      </c>
      <c r="AC97" s="5" t="s">
        <v>89</v>
      </c>
      <c r="AD97" s="5" t="s">
        <v>89</v>
      </c>
      <c r="AE97" s="6">
        <v>32105990</v>
      </c>
      <c r="AG97" t="b">
        <f t="shared" si="1"/>
        <v>1</v>
      </c>
    </row>
    <row r="98" spans="12:33" x14ac:dyDescent="0.3">
      <c r="L98" s="5" t="s">
        <v>103</v>
      </c>
      <c r="M98" s="6">
        <v>105371640</v>
      </c>
      <c r="O98" s="5" t="s">
        <v>103</v>
      </c>
      <c r="P98" s="6">
        <v>105371640</v>
      </c>
      <c r="R98" t="b">
        <f t="shared" si="0"/>
        <v>1</v>
      </c>
      <c r="T98" s="5" t="s">
        <v>198</v>
      </c>
      <c r="U98" s="5" t="s">
        <v>210</v>
      </c>
      <c r="V98" s="5" t="s">
        <v>42</v>
      </c>
      <c r="W98" s="6">
        <v>5458260</v>
      </c>
      <c r="Y98" s="5" t="s">
        <v>90</v>
      </c>
      <c r="Z98" s="6">
        <v>41560889</v>
      </c>
      <c r="AB98" s="5" t="s">
        <v>90</v>
      </c>
      <c r="AC98" s="5" t="s">
        <v>90</v>
      </c>
      <c r="AD98" s="5" t="s">
        <v>90</v>
      </c>
      <c r="AE98" s="6">
        <v>41560889</v>
      </c>
      <c r="AG98" t="b">
        <f t="shared" si="1"/>
        <v>1</v>
      </c>
    </row>
    <row r="99" spans="12:33" x14ac:dyDescent="0.3">
      <c r="L99" s="5" t="s">
        <v>104</v>
      </c>
      <c r="M99" s="6">
        <v>29908580</v>
      </c>
      <c r="O99" s="5" t="s">
        <v>104</v>
      </c>
      <c r="P99" s="6">
        <v>29908580</v>
      </c>
      <c r="R99" t="b">
        <f t="shared" si="0"/>
        <v>1</v>
      </c>
      <c r="T99" s="5" t="s">
        <v>199</v>
      </c>
      <c r="U99" s="5" t="s">
        <v>214</v>
      </c>
      <c r="V99" s="5" t="s">
        <v>42</v>
      </c>
      <c r="W99" s="6">
        <v>19613520</v>
      </c>
      <c r="Y99" s="5" t="s">
        <v>91</v>
      </c>
      <c r="Z99" s="6">
        <v>39768420</v>
      </c>
      <c r="AB99" s="5" t="s">
        <v>91</v>
      </c>
      <c r="AC99" s="5" t="s">
        <v>91</v>
      </c>
      <c r="AD99" s="5" t="s">
        <v>91</v>
      </c>
      <c r="AE99" s="6">
        <v>39768420</v>
      </c>
      <c r="AG99" t="b">
        <f t="shared" si="1"/>
        <v>1</v>
      </c>
    </row>
    <row r="100" spans="12:33" x14ac:dyDescent="0.3">
      <c r="L100" s="5" t="s">
        <v>105</v>
      </c>
      <c r="M100" s="6">
        <v>60303980</v>
      </c>
      <c r="O100" s="5" t="s">
        <v>105</v>
      </c>
      <c r="P100" s="6">
        <v>60303980</v>
      </c>
      <c r="R100" t="b">
        <f t="shared" si="0"/>
        <v>1</v>
      </c>
      <c r="T100" s="5" t="s">
        <v>199</v>
      </c>
      <c r="U100" s="5" t="s">
        <v>208</v>
      </c>
      <c r="V100" s="5" t="s">
        <v>42</v>
      </c>
      <c r="W100" s="6">
        <v>2514480</v>
      </c>
      <c r="Y100" s="5" t="s">
        <v>92</v>
      </c>
      <c r="Z100" s="6">
        <v>8297278530</v>
      </c>
      <c r="AB100" s="5" t="s">
        <v>92</v>
      </c>
      <c r="AC100" s="5" t="s">
        <v>92</v>
      </c>
      <c r="AD100" s="5" t="s">
        <v>92</v>
      </c>
      <c r="AE100" s="6">
        <v>8297278530</v>
      </c>
      <c r="AG100" t="b">
        <f t="shared" si="1"/>
        <v>1</v>
      </c>
    </row>
    <row r="101" spans="12:33" x14ac:dyDescent="0.3">
      <c r="L101" s="5" t="s">
        <v>106</v>
      </c>
      <c r="M101" s="6">
        <v>121230680</v>
      </c>
      <c r="O101" s="5" t="s">
        <v>106</v>
      </c>
      <c r="P101" s="6">
        <v>121230680</v>
      </c>
      <c r="R101" t="b">
        <f t="shared" si="0"/>
        <v>1</v>
      </c>
      <c r="T101" s="5" t="s">
        <v>199</v>
      </c>
      <c r="U101" s="5" t="s">
        <v>210</v>
      </c>
      <c r="V101" s="5" t="s">
        <v>42</v>
      </c>
      <c r="W101" s="6">
        <v>403200</v>
      </c>
      <c r="Y101" s="5" t="s">
        <v>93</v>
      </c>
      <c r="Z101" s="6">
        <v>10815873781</v>
      </c>
      <c r="AB101" s="5" t="s">
        <v>93</v>
      </c>
      <c r="AC101" s="5" t="s">
        <v>93</v>
      </c>
      <c r="AD101" s="5" t="s">
        <v>93</v>
      </c>
      <c r="AE101" s="6">
        <v>10815873781</v>
      </c>
      <c r="AG101" t="b">
        <f t="shared" si="1"/>
        <v>1</v>
      </c>
    </row>
    <row r="102" spans="12:33" x14ac:dyDescent="0.3">
      <c r="L102" s="5" t="s">
        <v>107</v>
      </c>
      <c r="M102" s="6">
        <v>39301670</v>
      </c>
      <c r="O102" s="5" t="s">
        <v>107</v>
      </c>
      <c r="P102" s="6">
        <v>39301670</v>
      </c>
      <c r="R102" t="b">
        <f t="shared" si="0"/>
        <v>1</v>
      </c>
      <c r="T102" s="5" t="s">
        <v>200</v>
      </c>
      <c r="U102" s="5" t="s">
        <v>215</v>
      </c>
      <c r="V102" s="5" t="s">
        <v>42</v>
      </c>
      <c r="W102" s="6">
        <v>46320</v>
      </c>
      <c r="Y102" s="5" t="s">
        <v>94</v>
      </c>
      <c r="Z102" s="6">
        <v>34341740</v>
      </c>
      <c r="AB102" s="5" t="s">
        <v>94</v>
      </c>
      <c r="AC102" s="5" t="s">
        <v>94</v>
      </c>
      <c r="AD102" s="5" t="s">
        <v>94</v>
      </c>
      <c r="AE102" s="6">
        <v>34341740</v>
      </c>
      <c r="AG102" t="b">
        <f t="shared" si="1"/>
        <v>1</v>
      </c>
    </row>
    <row r="103" spans="12:33" x14ac:dyDescent="0.3">
      <c r="L103" s="5" t="s">
        <v>108</v>
      </c>
      <c r="M103" s="6">
        <v>47138910</v>
      </c>
      <c r="O103" s="5" t="s">
        <v>108</v>
      </c>
      <c r="P103" s="6">
        <v>47138910</v>
      </c>
      <c r="R103" t="b">
        <f t="shared" si="0"/>
        <v>1</v>
      </c>
      <c r="T103" s="5" t="s">
        <v>200</v>
      </c>
      <c r="U103" s="5" t="s">
        <v>215</v>
      </c>
      <c r="V103" s="5" t="s">
        <v>42</v>
      </c>
      <c r="W103" s="6">
        <v>41160</v>
      </c>
      <c r="Y103" s="5" t="s">
        <v>95</v>
      </c>
      <c r="Z103" s="6">
        <v>8628180</v>
      </c>
      <c r="AB103" s="5" t="s">
        <v>95</v>
      </c>
      <c r="AC103" s="5" t="s">
        <v>95</v>
      </c>
      <c r="AD103" s="5" t="s">
        <v>95</v>
      </c>
      <c r="AE103" s="6">
        <v>8628180</v>
      </c>
      <c r="AG103" t="b">
        <f t="shared" si="1"/>
        <v>1</v>
      </c>
    </row>
    <row r="104" spans="12:33" x14ac:dyDescent="0.3">
      <c r="L104" s="5" t="s">
        <v>109</v>
      </c>
      <c r="M104" s="6">
        <v>51763450</v>
      </c>
      <c r="O104" s="5" t="s">
        <v>109</v>
      </c>
      <c r="P104" s="6">
        <v>51763450</v>
      </c>
      <c r="R104" t="b">
        <f t="shared" si="0"/>
        <v>1</v>
      </c>
      <c r="T104" s="5" t="s">
        <v>200</v>
      </c>
      <c r="U104" s="5" t="s">
        <v>215</v>
      </c>
      <c r="V104" s="5" t="s">
        <v>42</v>
      </c>
      <c r="W104" s="6">
        <v>120390</v>
      </c>
      <c r="Y104" s="5" t="s">
        <v>233</v>
      </c>
      <c r="Z104" s="6">
        <v>12581080</v>
      </c>
      <c r="AB104" s="5" t="s">
        <v>233</v>
      </c>
      <c r="AC104" s="5" t="s">
        <v>233</v>
      </c>
      <c r="AD104" s="5" t="s">
        <v>233</v>
      </c>
      <c r="AE104" s="6">
        <v>12581080</v>
      </c>
      <c r="AG104" t="b">
        <f t="shared" si="1"/>
        <v>1</v>
      </c>
    </row>
    <row r="105" spans="12:33" x14ac:dyDescent="0.3">
      <c r="L105" s="5" t="s">
        <v>110</v>
      </c>
      <c r="M105" s="6">
        <v>138495980</v>
      </c>
      <c r="O105" s="5" t="s">
        <v>110</v>
      </c>
      <c r="P105" s="6">
        <v>138495980</v>
      </c>
      <c r="R105" t="b">
        <f t="shared" si="0"/>
        <v>1</v>
      </c>
      <c r="T105" s="5" t="s">
        <v>200</v>
      </c>
      <c r="U105" s="5" t="s">
        <v>216</v>
      </c>
      <c r="V105" s="5" t="s">
        <v>42</v>
      </c>
      <c r="W105" s="6">
        <v>29476100</v>
      </c>
      <c r="Y105" s="5" t="s">
        <v>234</v>
      </c>
      <c r="Z105" s="6">
        <v>13207840</v>
      </c>
      <c r="AB105" s="5" t="s">
        <v>234</v>
      </c>
      <c r="AC105" s="5" t="s">
        <v>234</v>
      </c>
      <c r="AD105" s="5" t="s">
        <v>234</v>
      </c>
      <c r="AE105" s="6">
        <v>13207840</v>
      </c>
      <c r="AG105" t="b">
        <f t="shared" si="1"/>
        <v>1</v>
      </c>
    </row>
    <row r="106" spans="12:33" x14ac:dyDescent="0.3">
      <c r="L106" s="5" t="s">
        <v>111</v>
      </c>
      <c r="M106" s="6">
        <v>1533263810</v>
      </c>
      <c r="O106" s="5" t="s">
        <v>111</v>
      </c>
      <c r="P106" s="6">
        <v>1533263810</v>
      </c>
      <c r="R106" t="b">
        <f t="shared" si="0"/>
        <v>1</v>
      </c>
      <c r="T106" s="5" t="s">
        <v>200</v>
      </c>
      <c r="U106" s="5" t="s">
        <v>216</v>
      </c>
      <c r="V106" s="5" t="s">
        <v>42</v>
      </c>
      <c r="W106" s="6">
        <v>34342480</v>
      </c>
      <c r="Y106" s="5" t="s">
        <v>235</v>
      </c>
      <c r="Z106" s="6">
        <v>75942730</v>
      </c>
      <c r="AB106" s="5" t="s">
        <v>235</v>
      </c>
      <c r="AC106" s="5" t="s">
        <v>235</v>
      </c>
      <c r="AD106" s="5" t="s">
        <v>235</v>
      </c>
      <c r="AE106" s="6">
        <v>75942730</v>
      </c>
      <c r="AG106" t="b">
        <f t="shared" si="1"/>
        <v>1</v>
      </c>
    </row>
    <row r="107" spans="12:33" x14ac:dyDescent="0.3">
      <c r="L107" s="5" t="s">
        <v>112</v>
      </c>
      <c r="M107" s="6">
        <v>86075740</v>
      </c>
      <c r="O107" s="5" t="s">
        <v>112</v>
      </c>
      <c r="P107" s="6">
        <v>86075740</v>
      </c>
      <c r="R107" t="b">
        <f t="shared" si="0"/>
        <v>1</v>
      </c>
      <c r="T107" s="5" t="s">
        <v>200</v>
      </c>
      <c r="U107" s="5" t="s">
        <v>217</v>
      </c>
      <c r="V107" s="5" t="s">
        <v>42</v>
      </c>
      <c r="W107" s="6">
        <v>157486010</v>
      </c>
      <c r="Y107" s="5" t="s">
        <v>236</v>
      </c>
      <c r="Z107" s="6">
        <v>15776940</v>
      </c>
      <c r="AB107" s="5" t="s">
        <v>236</v>
      </c>
      <c r="AC107" s="5" t="s">
        <v>236</v>
      </c>
      <c r="AD107" s="5" t="s">
        <v>236</v>
      </c>
      <c r="AE107" s="6">
        <v>15776940</v>
      </c>
      <c r="AG107" t="b">
        <f t="shared" si="1"/>
        <v>1</v>
      </c>
    </row>
    <row r="108" spans="12:33" x14ac:dyDescent="0.3">
      <c r="L108" s="5" t="s">
        <v>113</v>
      </c>
      <c r="M108" s="6">
        <v>1650750</v>
      </c>
      <c r="O108" s="5" t="s">
        <v>113</v>
      </c>
      <c r="P108" s="6">
        <v>1650750</v>
      </c>
      <c r="R108" t="b">
        <f t="shared" si="0"/>
        <v>1</v>
      </c>
      <c r="T108" s="5" t="s">
        <v>200</v>
      </c>
      <c r="U108" s="5" t="s">
        <v>210</v>
      </c>
      <c r="V108" s="5" t="s">
        <v>42</v>
      </c>
      <c r="W108" s="6">
        <v>1154939010</v>
      </c>
      <c r="Y108" s="5" t="s">
        <v>96</v>
      </c>
      <c r="Z108" s="6">
        <v>476234440</v>
      </c>
      <c r="AB108" s="5" t="s">
        <v>96</v>
      </c>
      <c r="AC108" s="5" t="s">
        <v>96</v>
      </c>
      <c r="AD108" s="5" t="s">
        <v>96</v>
      </c>
      <c r="AE108" s="6">
        <v>476234440</v>
      </c>
      <c r="AG108" t="b">
        <f t="shared" si="1"/>
        <v>1</v>
      </c>
    </row>
    <row r="109" spans="12:33" x14ac:dyDescent="0.3">
      <c r="L109" s="5" t="s">
        <v>114</v>
      </c>
      <c r="M109" s="6">
        <v>17885940</v>
      </c>
      <c r="O109" s="5" t="s">
        <v>114</v>
      </c>
      <c r="P109" s="6">
        <v>17885940</v>
      </c>
      <c r="R109" t="b">
        <f t="shared" si="0"/>
        <v>1</v>
      </c>
      <c r="T109" s="5" t="s">
        <v>200</v>
      </c>
      <c r="U109" s="5" t="s">
        <v>210</v>
      </c>
      <c r="V109" s="5" t="s">
        <v>42</v>
      </c>
      <c r="W109" s="6">
        <v>841780</v>
      </c>
      <c r="Y109" s="5" t="s">
        <v>237</v>
      </c>
      <c r="Z109" s="6">
        <v>251773930</v>
      </c>
      <c r="AB109" s="5" t="s">
        <v>237</v>
      </c>
      <c r="AC109" s="5" t="s">
        <v>237</v>
      </c>
      <c r="AD109" s="5" t="s">
        <v>237</v>
      </c>
      <c r="AE109" s="6">
        <v>251773930</v>
      </c>
      <c r="AG109" t="b">
        <f t="shared" si="1"/>
        <v>1</v>
      </c>
    </row>
    <row r="110" spans="12:33" x14ac:dyDescent="0.3">
      <c r="L110" s="5" t="s">
        <v>115</v>
      </c>
      <c r="M110" s="6">
        <v>18070430</v>
      </c>
      <c r="O110" s="5" t="s">
        <v>115</v>
      </c>
      <c r="P110" s="6">
        <v>18070430</v>
      </c>
      <c r="R110" t="b">
        <f t="shared" si="0"/>
        <v>1</v>
      </c>
      <c r="T110" s="5" t="s">
        <v>200</v>
      </c>
      <c r="U110" s="5" t="s">
        <v>210</v>
      </c>
      <c r="V110" s="5" t="s">
        <v>42</v>
      </c>
      <c r="W110" s="6">
        <v>1545470</v>
      </c>
      <c r="Y110" s="5" t="s">
        <v>97</v>
      </c>
      <c r="Z110" s="6">
        <v>51194682</v>
      </c>
      <c r="AB110" s="5" t="s">
        <v>97</v>
      </c>
      <c r="AC110" s="5" t="s">
        <v>97</v>
      </c>
      <c r="AD110" s="5" t="s">
        <v>97</v>
      </c>
      <c r="AE110" s="6">
        <v>51194682</v>
      </c>
      <c r="AG110" t="b">
        <f t="shared" si="1"/>
        <v>1</v>
      </c>
    </row>
    <row r="111" spans="12:33" x14ac:dyDescent="0.3">
      <c r="L111" s="5" t="s">
        <v>116</v>
      </c>
      <c r="M111" s="6">
        <v>33786840</v>
      </c>
      <c r="O111" s="5" t="s">
        <v>116</v>
      </c>
      <c r="P111" s="6">
        <v>33786840</v>
      </c>
      <c r="R111" t="b">
        <f t="shared" si="0"/>
        <v>1</v>
      </c>
      <c r="T111" s="5" t="s">
        <v>200</v>
      </c>
      <c r="U111" s="5" t="s">
        <v>210</v>
      </c>
      <c r="V111" s="5" t="s">
        <v>42</v>
      </c>
      <c r="W111" s="6">
        <v>11139620</v>
      </c>
      <c r="Y111" s="5" t="s">
        <v>98</v>
      </c>
      <c r="Z111" s="6">
        <v>4073709640</v>
      </c>
      <c r="AB111" s="5" t="s">
        <v>98</v>
      </c>
      <c r="AC111" s="5" t="s">
        <v>98</v>
      </c>
      <c r="AD111" s="5" t="s">
        <v>98</v>
      </c>
      <c r="AE111" s="6">
        <v>4073709640</v>
      </c>
      <c r="AG111" t="b">
        <f t="shared" si="1"/>
        <v>1</v>
      </c>
    </row>
    <row r="112" spans="12:33" x14ac:dyDescent="0.3">
      <c r="L112" s="5" t="s">
        <v>117</v>
      </c>
      <c r="M112" s="6">
        <v>107298470</v>
      </c>
      <c r="O112" s="5" t="s">
        <v>117</v>
      </c>
      <c r="P112" s="6">
        <v>107298470</v>
      </c>
      <c r="R112" t="b">
        <f t="shared" si="0"/>
        <v>1</v>
      </c>
      <c r="T112" s="5" t="s">
        <v>200</v>
      </c>
      <c r="U112" s="5" t="s">
        <v>208</v>
      </c>
      <c r="V112" s="5" t="s">
        <v>42</v>
      </c>
      <c r="W112" s="6">
        <v>1922300</v>
      </c>
      <c r="Y112" s="5" t="s">
        <v>99</v>
      </c>
      <c r="Z112" s="6">
        <v>190728240</v>
      </c>
      <c r="AB112" s="5" t="s">
        <v>99</v>
      </c>
      <c r="AC112" s="5" t="s">
        <v>99</v>
      </c>
      <c r="AD112" s="5" t="s">
        <v>99</v>
      </c>
      <c r="AE112" s="6">
        <v>190728240</v>
      </c>
      <c r="AG112" t="b">
        <f t="shared" si="1"/>
        <v>1</v>
      </c>
    </row>
    <row r="113" spans="12:33" x14ac:dyDescent="0.3">
      <c r="L113" s="5" t="s">
        <v>118</v>
      </c>
      <c r="M113" s="6">
        <v>63059160</v>
      </c>
      <c r="O113" s="5" t="s">
        <v>118</v>
      </c>
      <c r="P113" s="6">
        <v>63059160</v>
      </c>
      <c r="R113" t="b">
        <f t="shared" ref="R113:R176" si="2">M113=P113</f>
        <v>1</v>
      </c>
      <c r="T113" s="5" t="s">
        <v>200</v>
      </c>
      <c r="U113" s="5" t="s">
        <v>208</v>
      </c>
      <c r="V113" s="5" t="s">
        <v>42</v>
      </c>
      <c r="W113" s="6">
        <v>2099930</v>
      </c>
      <c r="Y113" s="5" t="s">
        <v>100</v>
      </c>
      <c r="Z113" s="6">
        <v>1113040400</v>
      </c>
      <c r="AB113" s="5" t="s">
        <v>100</v>
      </c>
      <c r="AC113" s="5" t="s">
        <v>100</v>
      </c>
      <c r="AD113" s="5" t="s">
        <v>100</v>
      </c>
      <c r="AE113" s="6">
        <v>1113040400</v>
      </c>
      <c r="AG113" t="b">
        <f t="shared" ref="AG113:AG176" si="3">AE113=Z113</f>
        <v>1</v>
      </c>
    </row>
    <row r="114" spans="12:33" x14ac:dyDescent="0.3">
      <c r="L114" s="5" t="s">
        <v>119</v>
      </c>
      <c r="M114" s="6">
        <v>97169760</v>
      </c>
      <c r="O114" s="5" t="s">
        <v>119</v>
      </c>
      <c r="P114" s="6">
        <v>97169760</v>
      </c>
      <c r="R114" t="b">
        <f t="shared" si="2"/>
        <v>1</v>
      </c>
      <c r="T114" s="5" t="s">
        <v>200</v>
      </c>
      <c r="U114" s="5" t="s">
        <v>208</v>
      </c>
      <c r="V114" s="5" t="s">
        <v>42</v>
      </c>
      <c r="W114" s="6">
        <v>10470640</v>
      </c>
      <c r="Y114" s="5" t="s">
        <v>101</v>
      </c>
      <c r="Z114" s="6">
        <v>32309180</v>
      </c>
      <c r="AB114" s="5" t="s">
        <v>101</v>
      </c>
      <c r="AC114" s="5" t="s">
        <v>101</v>
      </c>
      <c r="AD114" s="5" t="s">
        <v>101</v>
      </c>
      <c r="AE114" s="6">
        <v>32309180</v>
      </c>
      <c r="AG114" t="b">
        <f t="shared" si="3"/>
        <v>1</v>
      </c>
    </row>
    <row r="115" spans="12:33" x14ac:dyDescent="0.3">
      <c r="L115" s="5" t="s">
        <v>120</v>
      </c>
      <c r="M115" s="6">
        <v>68661160</v>
      </c>
      <c r="O115" s="5" t="s">
        <v>120</v>
      </c>
      <c r="P115" s="6">
        <v>68661160</v>
      </c>
      <c r="R115" t="b">
        <f t="shared" si="2"/>
        <v>1</v>
      </c>
      <c r="Y115" s="5" t="s">
        <v>102</v>
      </c>
      <c r="Z115" s="6">
        <v>53120780</v>
      </c>
      <c r="AB115" s="5" t="s">
        <v>102</v>
      </c>
      <c r="AC115" s="5" t="s">
        <v>102</v>
      </c>
      <c r="AD115" s="5" t="s">
        <v>102</v>
      </c>
      <c r="AE115" s="6">
        <v>53120780</v>
      </c>
      <c r="AG115" t="b">
        <f t="shared" si="3"/>
        <v>1</v>
      </c>
    </row>
    <row r="116" spans="12:33" x14ac:dyDescent="0.3">
      <c r="L116" s="5" t="s">
        <v>121</v>
      </c>
      <c r="M116" s="6">
        <v>61565400</v>
      </c>
      <c r="O116" s="5" t="s">
        <v>121</v>
      </c>
      <c r="P116" s="6">
        <v>61565400</v>
      </c>
      <c r="R116" t="b">
        <f t="shared" si="2"/>
        <v>1</v>
      </c>
      <c r="Y116" s="5" t="s">
        <v>103</v>
      </c>
      <c r="Z116" s="6">
        <v>101445000</v>
      </c>
      <c r="AB116" s="5" t="s">
        <v>103</v>
      </c>
      <c r="AC116" s="5" t="s">
        <v>103</v>
      </c>
      <c r="AD116" s="5" t="s">
        <v>103</v>
      </c>
      <c r="AE116" s="6">
        <v>101445000</v>
      </c>
      <c r="AG116" t="b">
        <f t="shared" si="3"/>
        <v>1</v>
      </c>
    </row>
    <row r="117" spans="12:33" x14ac:dyDescent="0.3">
      <c r="L117" s="5" t="s">
        <v>122</v>
      </c>
      <c r="M117" s="6">
        <v>174059380</v>
      </c>
      <c r="O117" s="5" t="s">
        <v>122</v>
      </c>
      <c r="P117" s="6">
        <v>174059380</v>
      </c>
      <c r="R117" t="b">
        <f t="shared" si="2"/>
        <v>1</v>
      </c>
      <c r="Y117" s="5" t="s">
        <v>104</v>
      </c>
      <c r="Z117" s="6">
        <v>24796100</v>
      </c>
      <c r="AB117" s="5" t="s">
        <v>104</v>
      </c>
      <c r="AC117" s="5" t="s">
        <v>104</v>
      </c>
      <c r="AD117" s="5" t="s">
        <v>104</v>
      </c>
      <c r="AE117" s="6">
        <v>24796100</v>
      </c>
      <c r="AG117" t="b">
        <f t="shared" si="3"/>
        <v>1</v>
      </c>
    </row>
    <row r="118" spans="12:33" x14ac:dyDescent="0.3">
      <c r="L118" s="5" t="s">
        <v>123</v>
      </c>
      <c r="M118" s="6">
        <v>80426760</v>
      </c>
      <c r="O118" s="5" t="s">
        <v>123</v>
      </c>
      <c r="P118" s="6">
        <v>80426760</v>
      </c>
      <c r="R118" t="b">
        <f t="shared" si="2"/>
        <v>1</v>
      </c>
      <c r="Y118" s="5" t="s">
        <v>105</v>
      </c>
      <c r="Z118" s="6">
        <v>43618920</v>
      </c>
      <c r="AB118" s="5" t="s">
        <v>105</v>
      </c>
      <c r="AC118" s="5" t="s">
        <v>105</v>
      </c>
      <c r="AD118" s="5" t="s">
        <v>105</v>
      </c>
      <c r="AE118" s="6">
        <v>43618920</v>
      </c>
      <c r="AG118" t="b">
        <f t="shared" si="3"/>
        <v>1</v>
      </c>
    </row>
    <row r="119" spans="12:33" x14ac:dyDescent="0.3">
      <c r="L119" s="5" t="s">
        <v>124</v>
      </c>
      <c r="M119" s="6">
        <v>54327010</v>
      </c>
      <c r="O119" s="5" t="s">
        <v>124</v>
      </c>
      <c r="P119" s="6">
        <v>54327010</v>
      </c>
      <c r="R119" t="b">
        <f t="shared" si="2"/>
        <v>1</v>
      </c>
      <c r="Y119" s="5" t="s">
        <v>106</v>
      </c>
      <c r="Z119" s="6">
        <v>61162580</v>
      </c>
      <c r="AB119" s="5" t="s">
        <v>106</v>
      </c>
      <c r="AC119" s="5" t="s">
        <v>106</v>
      </c>
      <c r="AD119" s="5" t="s">
        <v>106</v>
      </c>
      <c r="AE119" s="6">
        <v>61162580</v>
      </c>
      <c r="AG119" t="b">
        <f t="shared" si="3"/>
        <v>1</v>
      </c>
    </row>
    <row r="120" spans="12:33" x14ac:dyDescent="0.3">
      <c r="L120" s="5" t="s">
        <v>125</v>
      </c>
      <c r="M120" s="6">
        <v>120279080</v>
      </c>
      <c r="O120" s="5" t="s">
        <v>125</v>
      </c>
      <c r="P120" s="6">
        <v>120279080</v>
      </c>
      <c r="R120" t="b">
        <f t="shared" si="2"/>
        <v>1</v>
      </c>
      <c r="Y120" s="5" t="s">
        <v>107</v>
      </c>
      <c r="Z120" s="6">
        <v>37034060</v>
      </c>
      <c r="AB120" s="5" t="s">
        <v>107</v>
      </c>
      <c r="AC120" s="5" t="s">
        <v>107</v>
      </c>
      <c r="AD120" s="5" t="s">
        <v>107</v>
      </c>
      <c r="AE120" s="6">
        <v>37034060</v>
      </c>
      <c r="AG120" t="b">
        <f t="shared" si="3"/>
        <v>1</v>
      </c>
    </row>
    <row r="121" spans="12:33" x14ac:dyDescent="0.3">
      <c r="L121" s="5" t="s">
        <v>126</v>
      </c>
      <c r="M121" s="6">
        <v>453681290</v>
      </c>
      <c r="O121" s="5" t="s">
        <v>126</v>
      </c>
      <c r="P121" s="6">
        <v>453681290</v>
      </c>
      <c r="R121" t="b">
        <f t="shared" si="2"/>
        <v>1</v>
      </c>
      <c r="Y121" s="5" t="s">
        <v>108</v>
      </c>
      <c r="Z121" s="6">
        <v>39775710</v>
      </c>
      <c r="AB121" s="5" t="s">
        <v>108</v>
      </c>
      <c r="AC121" s="5" t="s">
        <v>108</v>
      </c>
      <c r="AD121" s="5" t="s">
        <v>108</v>
      </c>
      <c r="AE121" s="6">
        <v>39775710</v>
      </c>
      <c r="AG121" t="b">
        <f t="shared" si="3"/>
        <v>1</v>
      </c>
    </row>
    <row r="122" spans="12:33" x14ac:dyDescent="0.3">
      <c r="L122" s="5" t="s">
        <v>127</v>
      </c>
      <c r="M122" s="6">
        <v>4570</v>
      </c>
      <c r="O122" s="5" t="s">
        <v>127</v>
      </c>
      <c r="P122" s="6">
        <v>4570</v>
      </c>
      <c r="R122" t="b">
        <f t="shared" si="2"/>
        <v>1</v>
      </c>
      <c r="Y122" s="5" t="s">
        <v>109</v>
      </c>
      <c r="Z122" s="6">
        <v>28875120</v>
      </c>
      <c r="AB122" s="5" t="s">
        <v>109</v>
      </c>
      <c r="AC122" s="5" t="s">
        <v>109</v>
      </c>
      <c r="AD122" s="5" t="s">
        <v>109</v>
      </c>
      <c r="AE122" s="6">
        <v>28875120</v>
      </c>
      <c r="AG122" t="b">
        <f t="shared" si="3"/>
        <v>1</v>
      </c>
    </row>
    <row r="123" spans="12:33" x14ac:dyDescent="0.3">
      <c r="L123" s="5" t="s">
        <v>128</v>
      </c>
      <c r="M123" s="6">
        <v>1389294720</v>
      </c>
      <c r="O123" s="5" t="s">
        <v>128</v>
      </c>
      <c r="P123" s="6">
        <v>1389294720</v>
      </c>
      <c r="R123" t="b">
        <f t="shared" si="2"/>
        <v>1</v>
      </c>
      <c r="Y123" s="5" t="s">
        <v>110</v>
      </c>
      <c r="Z123" s="6">
        <v>81113240</v>
      </c>
      <c r="AB123" s="5" t="s">
        <v>110</v>
      </c>
      <c r="AC123" s="5" t="s">
        <v>110</v>
      </c>
      <c r="AD123" s="5" t="s">
        <v>110</v>
      </c>
      <c r="AE123" s="6">
        <v>81113240</v>
      </c>
      <c r="AG123" t="b">
        <f t="shared" si="3"/>
        <v>1</v>
      </c>
    </row>
    <row r="124" spans="12:33" x14ac:dyDescent="0.3">
      <c r="L124" s="5" t="s">
        <v>129</v>
      </c>
      <c r="M124" s="6">
        <v>9269446</v>
      </c>
      <c r="O124" s="5" t="s">
        <v>129</v>
      </c>
      <c r="P124" s="6">
        <v>9269446</v>
      </c>
      <c r="R124" t="b">
        <f t="shared" si="2"/>
        <v>1</v>
      </c>
      <c r="Y124" s="5" t="s">
        <v>111</v>
      </c>
      <c r="Z124" s="6">
        <v>9253520</v>
      </c>
      <c r="AB124" s="5" t="s">
        <v>111</v>
      </c>
      <c r="AC124" s="5" t="s">
        <v>111</v>
      </c>
      <c r="AD124" s="5" t="s">
        <v>111</v>
      </c>
      <c r="AE124" s="6">
        <v>9253520</v>
      </c>
      <c r="AG124" t="b">
        <f t="shared" si="3"/>
        <v>1</v>
      </c>
    </row>
    <row r="125" spans="12:33" x14ac:dyDescent="0.3">
      <c r="L125" s="5" t="s">
        <v>130</v>
      </c>
      <c r="M125" s="6">
        <v>45065840</v>
      </c>
      <c r="O125" s="5" t="s">
        <v>130</v>
      </c>
      <c r="P125" s="6">
        <v>45065840</v>
      </c>
      <c r="R125" t="b">
        <f t="shared" si="2"/>
        <v>1</v>
      </c>
      <c r="Y125" s="5" t="s">
        <v>238</v>
      </c>
      <c r="Z125" s="6">
        <v>4862000</v>
      </c>
      <c r="AB125" s="5" t="s">
        <v>238</v>
      </c>
      <c r="AC125" s="5" t="s">
        <v>238</v>
      </c>
      <c r="AD125" s="5" t="s">
        <v>238</v>
      </c>
      <c r="AE125" s="6">
        <v>4862000</v>
      </c>
      <c r="AG125" t="b">
        <f t="shared" si="3"/>
        <v>1</v>
      </c>
    </row>
    <row r="126" spans="12:33" x14ac:dyDescent="0.3">
      <c r="L126" s="5" t="s">
        <v>131</v>
      </c>
      <c r="M126" s="6">
        <v>55320070</v>
      </c>
      <c r="O126" s="5" t="s">
        <v>131</v>
      </c>
      <c r="P126" s="6">
        <v>55320070</v>
      </c>
      <c r="R126" t="b">
        <f t="shared" si="2"/>
        <v>1</v>
      </c>
      <c r="Y126" s="5" t="s">
        <v>239</v>
      </c>
      <c r="Z126" s="6">
        <v>7904430</v>
      </c>
      <c r="AB126" s="5" t="s">
        <v>239</v>
      </c>
      <c r="AC126" s="5" t="s">
        <v>239</v>
      </c>
      <c r="AD126" s="5" t="s">
        <v>239</v>
      </c>
      <c r="AE126" s="6">
        <v>7904430</v>
      </c>
      <c r="AG126" t="b">
        <f t="shared" si="3"/>
        <v>1</v>
      </c>
    </row>
    <row r="127" spans="12:33" x14ac:dyDescent="0.3">
      <c r="L127" s="5" t="s">
        <v>132</v>
      </c>
      <c r="M127" s="6">
        <v>102898140</v>
      </c>
      <c r="O127" s="5" t="s">
        <v>132</v>
      </c>
      <c r="P127" s="6">
        <v>102898140</v>
      </c>
      <c r="R127" t="b">
        <f t="shared" si="2"/>
        <v>1</v>
      </c>
      <c r="Y127" s="5" t="s">
        <v>240</v>
      </c>
      <c r="Z127" s="6">
        <v>25039830</v>
      </c>
      <c r="AB127" s="5" t="s">
        <v>240</v>
      </c>
      <c r="AC127" s="5" t="s">
        <v>240</v>
      </c>
      <c r="AD127" s="5" t="s">
        <v>240</v>
      </c>
      <c r="AE127" s="6">
        <v>25039830</v>
      </c>
      <c r="AG127" t="b">
        <f t="shared" si="3"/>
        <v>1</v>
      </c>
    </row>
    <row r="128" spans="12:33" x14ac:dyDescent="0.3">
      <c r="L128" s="5" t="s">
        <v>133</v>
      </c>
      <c r="M128" s="6">
        <v>53996760</v>
      </c>
      <c r="O128" s="5" t="s">
        <v>133</v>
      </c>
      <c r="P128" s="6">
        <v>53996760</v>
      </c>
      <c r="R128" t="b">
        <f t="shared" si="2"/>
        <v>1</v>
      </c>
      <c r="Y128" s="5" t="s">
        <v>241</v>
      </c>
      <c r="Z128" s="6">
        <v>72351700</v>
      </c>
      <c r="AB128" s="5" t="s">
        <v>241</v>
      </c>
      <c r="AC128" s="5" t="s">
        <v>241</v>
      </c>
      <c r="AD128" s="5" t="s">
        <v>241</v>
      </c>
      <c r="AE128" s="6">
        <v>72351700</v>
      </c>
      <c r="AG128" t="b">
        <f t="shared" si="3"/>
        <v>1</v>
      </c>
    </row>
    <row r="129" spans="12:33" x14ac:dyDescent="0.3">
      <c r="L129" s="5" t="s">
        <v>134</v>
      </c>
      <c r="M129" s="6">
        <v>81306230</v>
      </c>
      <c r="O129" s="5" t="s">
        <v>134</v>
      </c>
      <c r="P129" s="6">
        <v>81306230</v>
      </c>
      <c r="R129" t="b">
        <f t="shared" si="2"/>
        <v>1</v>
      </c>
      <c r="Y129" s="5" t="s">
        <v>112</v>
      </c>
      <c r="Z129" s="6">
        <v>423586220</v>
      </c>
      <c r="AB129" s="5" t="s">
        <v>112</v>
      </c>
      <c r="AC129" s="5" t="s">
        <v>112</v>
      </c>
      <c r="AD129" s="5" t="s">
        <v>112</v>
      </c>
      <c r="AE129" s="6">
        <v>423586220</v>
      </c>
      <c r="AG129" t="b">
        <f t="shared" si="3"/>
        <v>1</v>
      </c>
    </row>
    <row r="130" spans="12:33" s="12" customFormat="1" x14ac:dyDescent="0.3">
      <c r="L130" s="10" t="s">
        <v>191</v>
      </c>
      <c r="M130" s="11">
        <v>108531100</v>
      </c>
      <c r="O130" s="10" t="s">
        <v>191</v>
      </c>
      <c r="P130" s="11">
        <v>108531100</v>
      </c>
      <c r="R130" s="12" t="b">
        <f t="shared" si="2"/>
        <v>1</v>
      </c>
      <c r="Y130" s="5" t="s">
        <v>113</v>
      </c>
      <c r="Z130" s="6">
        <v>227233310</v>
      </c>
      <c r="AB130" s="5" t="s">
        <v>113</v>
      </c>
      <c r="AC130" s="5" t="s">
        <v>113</v>
      </c>
      <c r="AD130" s="5" t="s">
        <v>113</v>
      </c>
      <c r="AE130" s="6">
        <v>227233310</v>
      </c>
      <c r="AG130" t="b">
        <f t="shared" si="3"/>
        <v>1</v>
      </c>
    </row>
    <row r="131" spans="12:33" x14ac:dyDescent="0.3">
      <c r="L131" s="5" t="s">
        <v>135</v>
      </c>
      <c r="M131" s="6">
        <v>90544940</v>
      </c>
      <c r="O131" s="5" t="s">
        <v>135</v>
      </c>
      <c r="P131" s="6">
        <v>90544940</v>
      </c>
      <c r="R131" t="b">
        <f t="shared" si="2"/>
        <v>1</v>
      </c>
      <c r="Y131" s="5" t="s">
        <v>114</v>
      </c>
      <c r="Z131" s="6">
        <v>1051925130</v>
      </c>
      <c r="AB131" s="5" t="s">
        <v>114</v>
      </c>
      <c r="AC131" s="5" t="s">
        <v>114</v>
      </c>
      <c r="AD131" s="5" t="s">
        <v>114</v>
      </c>
      <c r="AE131" s="6">
        <v>1051925130</v>
      </c>
      <c r="AG131" t="b">
        <f t="shared" si="3"/>
        <v>1</v>
      </c>
    </row>
    <row r="132" spans="12:33" x14ac:dyDescent="0.3">
      <c r="L132" s="5" t="s">
        <v>136</v>
      </c>
      <c r="M132" s="6">
        <v>3485703219</v>
      </c>
      <c r="O132" s="5" t="s">
        <v>136</v>
      </c>
      <c r="P132" s="6">
        <v>3485703219</v>
      </c>
      <c r="R132" t="b">
        <f t="shared" si="2"/>
        <v>1</v>
      </c>
      <c r="Y132" s="5" t="s">
        <v>115</v>
      </c>
      <c r="Z132" s="6">
        <v>17367590</v>
      </c>
      <c r="AB132" s="5" t="s">
        <v>115</v>
      </c>
      <c r="AC132" s="5" t="s">
        <v>115</v>
      </c>
      <c r="AD132" s="5" t="s">
        <v>115</v>
      </c>
      <c r="AE132" s="6">
        <v>17367590</v>
      </c>
      <c r="AG132" t="b">
        <f t="shared" si="3"/>
        <v>1</v>
      </c>
    </row>
    <row r="133" spans="12:33" x14ac:dyDescent="0.3">
      <c r="L133" s="5" t="s">
        <v>137</v>
      </c>
      <c r="M133" s="6">
        <v>211653674</v>
      </c>
      <c r="O133" s="5" t="s">
        <v>137</v>
      </c>
      <c r="P133" s="6">
        <v>211653674</v>
      </c>
      <c r="R133" t="b">
        <f t="shared" si="2"/>
        <v>1</v>
      </c>
      <c r="Y133" s="5" t="s">
        <v>116</v>
      </c>
      <c r="Z133" s="6">
        <v>30239040</v>
      </c>
      <c r="AB133" s="5" t="s">
        <v>116</v>
      </c>
      <c r="AC133" s="5" t="s">
        <v>116</v>
      </c>
      <c r="AD133" s="5" t="s">
        <v>116</v>
      </c>
      <c r="AE133" s="6">
        <v>30239040</v>
      </c>
      <c r="AG133" t="b">
        <f t="shared" si="3"/>
        <v>1</v>
      </c>
    </row>
    <row r="134" spans="12:33" x14ac:dyDescent="0.3">
      <c r="L134" s="5" t="s">
        <v>138</v>
      </c>
      <c r="M134" s="6">
        <v>1749286000</v>
      </c>
      <c r="O134" s="5" t="s">
        <v>138</v>
      </c>
      <c r="P134" s="6">
        <v>1749286000</v>
      </c>
      <c r="R134" t="b">
        <f t="shared" si="2"/>
        <v>1</v>
      </c>
      <c r="Y134" s="5" t="s">
        <v>117</v>
      </c>
      <c r="Z134" s="6">
        <v>103059810</v>
      </c>
      <c r="AB134" s="5" t="s">
        <v>117</v>
      </c>
      <c r="AC134" s="5" t="s">
        <v>117</v>
      </c>
      <c r="AD134" s="5" t="s">
        <v>117</v>
      </c>
      <c r="AE134" s="6">
        <v>103059810</v>
      </c>
      <c r="AG134" t="b">
        <f t="shared" si="3"/>
        <v>1</v>
      </c>
    </row>
    <row r="135" spans="12:33" x14ac:dyDescent="0.3">
      <c r="L135" s="5" t="s">
        <v>139</v>
      </c>
      <c r="M135" s="6">
        <v>153880350</v>
      </c>
      <c r="O135" s="5" t="s">
        <v>139</v>
      </c>
      <c r="P135" s="6">
        <v>153880350</v>
      </c>
      <c r="R135" t="b">
        <f t="shared" si="2"/>
        <v>1</v>
      </c>
      <c r="Y135" s="5" t="s">
        <v>118</v>
      </c>
      <c r="Z135" s="6">
        <v>51306130</v>
      </c>
      <c r="AB135" s="5" t="s">
        <v>118</v>
      </c>
      <c r="AC135" s="5" t="s">
        <v>118</v>
      </c>
      <c r="AD135" s="5" t="s">
        <v>118</v>
      </c>
      <c r="AE135" s="6">
        <v>51306130</v>
      </c>
      <c r="AG135" t="b">
        <f t="shared" si="3"/>
        <v>1</v>
      </c>
    </row>
    <row r="136" spans="12:33" x14ac:dyDescent="0.3">
      <c r="L136" s="5" t="s">
        <v>140</v>
      </c>
      <c r="M136" s="6">
        <v>72094</v>
      </c>
      <c r="O136" s="5" t="s">
        <v>140</v>
      </c>
      <c r="P136" s="6">
        <v>72094</v>
      </c>
      <c r="R136" t="b">
        <f t="shared" si="2"/>
        <v>1</v>
      </c>
      <c r="Y136" s="5" t="s">
        <v>119</v>
      </c>
      <c r="Z136" s="6">
        <v>33220100</v>
      </c>
      <c r="AB136" s="5" t="s">
        <v>119</v>
      </c>
      <c r="AC136" s="5" t="s">
        <v>119</v>
      </c>
      <c r="AD136" s="5" t="s">
        <v>119</v>
      </c>
      <c r="AE136" s="6">
        <v>33220100</v>
      </c>
      <c r="AG136" t="b">
        <f t="shared" si="3"/>
        <v>1</v>
      </c>
    </row>
    <row r="137" spans="12:33" x14ac:dyDescent="0.3">
      <c r="L137" s="5" t="s">
        <v>141</v>
      </c>
      <c r="M137" s="6">
        <v>134341180</v>
      </c>
      <c r="O137" s="5" t="s">
        <v>141</v>
      </c>
      <c r="P137" s="6">
        <v>134341180</v>
      </c>
      <c r="R137" t="b">
        <f t="shared" si="2"/>
        <v>1</v>
      </c>
      <c r="Y137" s="5" t="s">
        <v>120</v>
      </c>
      <c r="Z137" s="6">
        <v>57800660</v>
      </c>
      <c r="AB137" s="5" t="s">
        <v>120</v>
      </c>
      <c r="AC137" s="5" t="s">
        <v>120</v>
      </c>
      <c r="AD137" s="5" t="s">
        <v>120</v>
      </c>
      <c r="AE137" s="6">
        <v>57800660</v>
      </c>
      <c r="AG137" t="b">
        <f t="shared" si="3"/>
        <v>1</v>
      </c>
    </row>
    <row r="138" spans="12:33" x14ac:dyDescent="0.3">
      <c r="L138" s="5" t="s">
        <v>142</v>
      </c>
      <c r="M138" s="6">
        <v>12546950</v>
      </c>
      <c r="O138" s="5" t="s">
        <v>142</v>
      </c>
      <c r="P138" s="6">
        <v>12546950</v>
      </c>
      <c r="R138" t="b">
        <f t="shared" si="2"/>
        <v>1</v>
      </c>
      <c r="Y138" s="5" t="s">
        <v>121</v>
      </c>
      <c r="Z138" s="6">
        <v>52566320</v>
      </c>
      <c r="AB138" s="5" t="s">
        <v>121</v>
      </c>
      <c r="AC138" s="5" t="s">
        <v>121</v>
      </c>
      <c r="AD138" s="5" t="s">
        <v>121</v>
      </c>
      <c r="AE138" s="6">
        <v>52566320</v>
      </c>
      <c r="AG138" t="b">
        <f t="shared" si="3"/>
        <v>1</v>
      </c>
    </row>
    <row r="139" spans="12:33" x14ac:dyDescent="0.3">
      <c r="L139" s="5" t="s">
        <v>143</v>
      </c>
      <c r="M139" s="6">
        <v>38435830</v>
      </c>
      <c r="O139" s="5" t="s">
        <v>143</v>
      </c>
      <c r="P139" s="6">
        <v>38435830</v>
      </c>
      <c r="R139" t="b">
        <f t="shared" si="2"/>
        <v>1</v>
      </c>
      <c r="Y139" s="5" t="s">
        <v>122</v>
      </c>
      <c r="Z139" s="6">
        <v>73851970</v>
      </c>
      <c r="AB139" s="5" t="s">
        <v>122</v>
      </c>
      <c r="AC139" s="5" t="s">
        <v>122</v>
      </c>
      <c r="AD139" s="5" t="s">
        <v>122</v>
      </c>
      <c r="AE139" s="6">
        <v>73851970</v>
      </c>
      <c r="AG139" t="b">
        <f t="shared" si="3"/>
        <v>1</v>
      </c>
    </row>
    <row r="140" spans="12:33" x14ac:dyDescent="0.3">
      <c r="L140" s="5" t="s">
        <v>144</v>
      </c>
      <c r="M140" s="6">
        <v>12687770</v>
      </c>
      <c r="O140" s="5" t="s">
        <v>144</v>
      </c>
      <c r="P140" s="6">
        <v>12687770</v>
      </c>
      <c r="R140" t="b">
        <f t="shared" si="2"/>
        <v>1</v>
      </c>
      <c r="Y140" s="5" t="s">
        <v>123</v>
      </c>
      <c r="Z140" s="6">
        <v>61878830</v>
      </c>
      <c r="AB140" s="5" t="s">
        <v>123</v>
      </c>
      <c r="AC140" s="5" t="s">
        <v>123</v>
      </c>
      <c r="AD140" s="5" t="s">
        <v>123</v>
      </c>
      <c r="AE140" s="6">
        <v>61878830</v>
      </c>
      <c r="AG140" t="b">
        <f t="shared" si="3"/>
        <v>1</v>
      </c>
    </row>
    <row r="141" spans="12:33" x14ac:dyDescent="0.3">
      <c r="L141" s="5" t="s">
        <v>145</v>
      </c>
      <c r="M141" s="6">
        <v>23362760</v>
      </c>
      <c r="O141" s="5" t="s">
        <v>145</v>
      </c>
      <c r="P141" s="6">
        <v>23362760</v>
      </c>
      <c r="R141" t="b">
        <f t="shared" si="2"/>
        <v>1</v>
      </c>
      <c r="Y141" s="5" t="s">
        <v>124</v>
      </c>
      <c r="Z141" s="6">
        <v>32871700</v>
      </c>
      <c r="AB141" s="5" t="s">
        <v>124</v>
      </c>
      <c r="AC141" s="5" t="s">
        <v>124</v>
      </c>
      <c r="AD141" s="5" t="s">
        <v>124</v>
      </c>
      <c r="AE141" s="6">
        <v>32871700</v>
      </c>
      <c r="AG141" t="b">
        <f t="shared" si="3"/>
        <v>1</v>
      </c>
    </row>
    <row r="142" spans="12:33" x14ac:dyDescent="0.3">
      <c r="L142" s="5" t="s">
        <v>146</v>
      </c>
      <c r="M142" s="6">
        <v>53055070</v>
      </c>
      <c r="O142" s="5" t="s">
        <v>146</v>
      </c>
      <c r="P142" s="6">
        <v>53055070</v>
      </c>
      <c r="R142" t="b">
        <f t="shared" si="2"/>
        <v>1</v>
      </c>
      <c r="Y142" s="5" t="s">
        <v>125</v>
      </c>
      <c r="Z142" s="6">
        <v>105548610</v>
      </c>
      <c r="AB142" s="5" t="s">
        <v>125</v>
      </c>
      <c r="AC142" s="5" t="s">
        <v>125</v>
      </c>
      <c r="AD142" s="5" t="s">
        <v>125</v>
      </c>
      <c r="AE142" s="6">
        <v>105548610</v>
      </c>
      <c r="AG142" t="b">
        <f t="shared" si="3"/>
        <v>1</v>
      </c>
    </row>
    <row r="143" spans="12:33" x14ac:dyDescent="0.3">
      <c r="L143" s="5" t="s">
        <v>147</v>
      </c>
      <c r="M143" s="6">
        <v>35274120</v>
      </c>
      <c r="O143" s="5" t="s">
        <v>147</v>
      </c>
      <c r="P143" s="6">
        <v>35274120</v>
      </c>
      <c r="R143" t="b">
        <f t="shared" si="2"/>
        <v>1</v>
      </c>
      <c r="Y143" s="5" t="s">
        <v>127</v>
      </c>
      <c r="Z143" s="6">
        <v>10947580</v>
      </c>
      <c r="AB143" s="5" t="s">
        <v>127</v>
      </c>
      <c r="AC143" s="5" t="s">
        <v>127</v>
      </c>
      <c r="AD143" s="5" t="s">
        <v>127</v>
      </c>
      <c r="AE143" s="6">
        <v>10947580</v>
      </c>
      <c r="AG143" t="b">
        <f t="shared" si="3"/>
        <v>1</v>
      </c>
    </row>
    <row r="144" spans="12:33" x14ac:dyDescent="0.3">
      <c r="L144" s="5" t="s">
        <v>148</v>
      </c>
      <c r="M144" s="6">
        <v>80977351</v>
      </c>
      <c r="O144" s="5" t="s">
        <v>148</v>
      </c>
      <c r="P144" s="6">
        <v>80977351</v>
      </c>
      <c r="R144" t="b">
        <f t="shared" si="2"/>
        <v>1</v>
      </c>
      <c r="Y144" s="5" t="s">
        <v>242</v>
      </c>
      <c r="Z144" s="6">
        <v>100597640</v>
      </c>
      <c r="AB144" s="5" t="s">
        <v>242</v>
      </c>
      <c r="AC144" s="5" t="s">
        <v>242</v>
      </c>
      <c r="AD144" s="5" t="s">
        <v>242</v>
      </c>
      <c r="AE144" s="6">
        <v>100597640</v>
      </c>
      <c r="AG144" t="b">
        <f t="shared" si="3"/>
        <v>1</v>
      </c>
    </row>
    <row r="145" spans="12:33" x14ac:dyDescent="0.3">
      <c r="L145" s="5" t="s">
        <v>149</v>
      </c>
      <c r="M145" s="6">
        <v>46747980</v>
      </c>
      <c r="O145" s="5" t="s">
        <v>149</v>
      </c>
      <c r="P145" s="6">
        <v>46747980</v>
      </c>
      <c r="R145" t="b">
        <f t="shared" si="2"/>
        <v>1</v>
      </c>
      <c r="Y145" s="5" t="s">
        <v>243</v>
      </c>
      <c r="Z145" s="6">
        <v>18613040</v>
      </c>
      <c r="AB145" s="5" t="s">
        <v>243</v>
      </c>
      <c r="AC145" s="5" t="s">
        <v>243</v>
      </c>
      <c r="AD145" s="5" t="s">
        <v>243</v>
      </c>
      <c r="AE145" s="6">
        <v>18613040</v>
      </c>
      <c r="AG145" t="b">
        <f t="shared" si="3"/>
        <v>1</v>
      </c>
    </row>
    <row r="146" spans="12:33" x14ac:dyDescent="0.3">
      <c r="L146" s="5" t="s">
        <v>150</v>
      </c>
      <c r="M146" s="6">
        <v>36254168</v>
      </c>
      <c r="O146" s="5" t="s">
        <v>150</v>
      </c>
      <c r="P146" s="6">
        <v>36254168</v>
      </c>
      <c r="R146" t="b">
        <f t="shared" si="2"/>
        <v>1</v>
      </c>
      <c r="Y146" s="5" t="s">
        <v>244</v>
      </c>
      <c r="Z146" s="6">
        <v>26550580</v>
      </c>
      <c r="AB146" s="5" t="s">
        <v>244</v>
      </c>
      <c r="AC146" s="5" t="s">
        <v>244</v>
      </c>
      <c r="AD146" s="5" t="s">
        <v>244</v>
      </c>
      <c r="AE146" s="6">
        <v>26550580</v>
      </c>
      <c r="AG146" t="b">
        <f t="shared" si="3"/>
        <v>1</v>
      </c>
    </row>
    <row r="147" spans="12:33" x14ac:dyDescent="0.3">
      <c r="L147" s="5" t="s">
        <v>151</v>
      </c>
      <c r="M147" s="6">
        <v>138359260</v>
      </c>
      <c r="O147" s="5" t="s">
        <v>151</v>
      </c>
      <c r="P147" s="6">
        <v>138359260</v>
      </c>
      <c r="R147" t="b">
        <f t="shared" si="2"/>
        <v>1</v>
      </c>
      <c r="Y147" s="5" t="s">
        <v>245</v>
      </c>
      <c r="Z147" s="6">
        <v>17036470</v>
      </c>
      <c r="AB147" s="5" t="s">
        <v>245</v>
      </c>
      <c r="AC147" s="5" t="s">
        <v>245</v>
      </c>
      <c r="AD147" s="5" t="s">
        <v>245</v>
      </c>
      <c r="AE147" s="6">
        <v>17036470</v>
      </c>
      <c r="AG147" t="b">
        <f t="shared" si="3"/>
        <v>1</v>
      </c>
    </row>
    <row r="148" spans="12:33" x14ac:dyDescent="0.3">
      <c r="L148" s="5" t="s">
        <v>152</v>
      </c>
      <c r="M148" s="6">
        <v>1046097350</v>
      </c>
      <c r="O148" s="5" t="s">
        <v>152</v>
      </c>
      <c r="P148" s="6">
        <v>1046097350</v>
      </c>
      <c r="R148" t="b">
        <f t="shared" si="2"/>
        <v>1</v>
      </c>
      <c r="Y148" s="5" t="s">
        <v>128</v>
      </c>
      <c r="Z148" s="6">
        <v>445239000</v>
      </c>
      <c r="AB148" s="5" t="s">
        <v>128</v>
      </c>
      <c r="AC148" s="5" t="s">
        <v>128</v>
      </c>
      <c r="AD148" s="5" t="s">
        <v>128</v>
      </c>
      <c r="AE148" s="6">
        <v>445239000</v>
      </c>
      <c r="AG148" t="b">
        <f t="shared" si="3"/>
        <v>1</v>
      </c>
    </row>
    <row r="149" spans="12:33" x14ac:dyDescent="0.3">
      <c r="L149" s="5" t="s">
        <v>153</v>
      </c>
      <c r="M149" s="6">
        <v>89367520</v>
      </c>
      <c r="O149" s="5" t="s">
        <v>153</v>
      </c>
      <c r="P149" s="6">
        <v>89367520</v>
      </c>
      <c r="R149" t="b">
        <f t="shared" si="2"/>
        <v>1</v>
      </c>
      <c r="Y149" s="5" t="s">
        <v>246</v>
      </c>
      <c r="Z149" s="6">
        <v>334781410</v>
      </c>
      <c r="AB149" s="5" t="s">
        <v>246</v>
      </c>
      <c r="AC149" s="5" t="s">
        <v>246</v>
      </c>
      <c r="AD149" s="5" t="s">
        <v>246</v>
      </c>
      <c r="AE149" s="6">
        <v>334781410</v>
      </c>
      <c r="AG149" t="b">
        <f t="shared" si="3"/>
        <v>1</v>
      </c>
    </row>
    <row r="150" spans="12:33" x14ac:dyDescent="0.3">
      <c r="L150" s="5" t="s">
        <v>154</v>
      </c>
      <c r="M150" s="6">
        <v>35306730</v>
      </c>
      <c r="O150" s="5" t="s">
        <v>154</v>
      </c>
      <c r="P150" s="6">
        <v>35306730</v>
      </c>
      <c r="R150" t="b">
        <f t="shared" si="2"/>
        <v>1</v>
      </c>
      <c r="Y150" s="5" t="s">
        <v>129</v>
      </c>
      <c r="Z150" s="6">
        <v>1167761466</v>
      </c>
      <c r="AB150" s="5" t="s">
        <v>129</v>
      </c>
      <c r="AC150" s="5" t="s">
        <v>129</v>
      </c>
      <c r="AD150" s="5" t="s">
        <v>129</v>
      </c>
      <c r="AE150" s="6">
        <v>1167761466</v>
      </c>
      <c r="AG150" t="b">
        <f t="shared" si="3"/>
        <v>1</v>
      </c>
    </row>
    <row r="151" spans="12:33" x14ac:dyDescent="0.3">
      <c r="L151" s="5" t="s">
        <v>155</v>
      </c>
      <c r="M151" s="6">
        <v>161916320</v>
      </c>
      <c r="O151" s="5" t="s">
        <v>155</v>
      </c>
      <c r="P151" s="6">
        <v>161916320</v>
      </c>
      <c r="R151" t="b">
        <f t="shared" si="2"/>
        <v>1</v>
      </c>
      <c r="Y151" s="5" t="s">
        <v>130</v>
      </c>
      <c r="Z151" s="6">
        <v>42642080</v>
      </c>
      <c r="AB151" s="5" t="s">
        <v>130</v>
      </c>
      <c r="AC151" s="5" t="s">
        <v>130</v>
      </c>
      <c r="AD151" s="5" t="s">
        <v>130</v>
      </c>
      <c r="AE151" s="6">
        <v>42642080</v>
      </c>
      <c r="AG151" t="b">
        <f t="shared" si="3"/>
        <v>1</v>
      </c>
    </row>
    <row r="152" spans="12:33" x14ac:dyDescent="0.3">
      <c r="L152" s="5" t="s">
        <v>156</v>
      </c>
      <c r="M152" s="6">
        <v>56630220</v>
      </c>
      <c r="O152" s="5" t="s">
        <v>156</v>
      </c>
      <c r="P152" s="6">
        <v>56630220</v>
      </c>
      <c r="R152" t="b">
        <f t="shared" si="2"/>
        <v>1</v>
      </c>
      <c r="Y152" s="5" t="s">
        <v>131</v>
      </c>
      <c r="Z152" s="6">
        <v>50159400</v>
      </c>
      <c r="AB152" s="5" t="s">
        <v>131</v>
      </c>
      <c r="AC152" s="5" t="s">
        <v>131</v>
      </c>
      <c r="AD152" s="5" t="s">
        <v>131</v>
      </c>
      <c r="AE152" s="6">
        <v>50159400</v>
      </c>
      <c r="AG152" t="b">
        <f t="shared" si="3"/>
        <v>1</v>
      </c>
    </row>
    <row r="153" spans="12:33" x14ac:dyDescent="0.3">
      <c r="L153" s="5" t="s">
        <v>157</v>
      </c>
      <c r="M153" s="6">
        <v>1685020160</v>
      </c>
      <c r="O153" s="5" t="s">
        <v>157</v>
      </c>
      <c r="P153" s="6">
        <v>1685020160</v>
      </c>
      <c r="R153" t="b">
        <f t="shared" si="2"/>
        <v>1</v>
      </c>
      <c r="Y153" s="5" t="s">
        <v>132</v>
      </c>
      <c r="Z153" s="6">
        <v>97817630</v>
      </c>
      <c r="AB153" s="5" t="s">
        <v>132</v>
      </c>
      <c r="AC153" s="5" t="s">
        <v>132</v>
      </c>
      <c r="AD153" s="5" t="s">
        <v>132</v>
      </c>
      <c r="AE153" s="6">
        <v>97817630</v>
      </c>
      <c r="AG153" t="b">
        <f t="shared" si="3"/>
        <v>1</v>
      </c>
    </row>
    <row r="154" spans="12:33" x14ac:dyDescent="0.3">
      <c r="L154" s="5" t="s">
        <v>158</v>
      </c>
      <c r="M154" s="6">
        <v>77858140</v>
      </c>
      <c r="O154" s="5" t="s">
        <v>158</v>
      </c>
      <c r="P154" s="6">
        <v>77858140</v>
      </c>
      <c r="R154" t="b">
        <f t="shared" si="2"/>
        <v>1</v>
      </c>
      <c r="Y154" s="5" t="s">
        <v>133</v>
      </c>
      <c r="Z154" s="6">
        <v>41797110</v>
      </c>
      <c r="AB154" s="5" t="s">
        <v>133</v>
      </c>
      <c r="AC154" s="5" t="s">
        <v>133</v>
      </c>
      <c r="AD154" s="5" t="s">
        <v>133</v>
      </c>
      <c r="AE154" s="6">
        <v>41797110</v>
      </c>
      <c r="AG154" t="b">
        <f t="shared" si="3"/>
        <v>1</v>
      </c>
    </row>
    <row r="155" spans="12:33" x14ac:dyDescent="0.3">
      <c r="L155" s="5" t="s">
        <v>159</v>
      </c>
      <c r="M155" s="6">
        <v>16080690</v>
      </c>
      <c r="O155" s="5" t="s">
        <v>159</v>
      </c>
      <c r="P155" s="6">
        <v>16080690</v>
      </c>
      <c r="R155" t="b">
        <f t="shared" si="2"/>
        <v>1</v>
      </c>
      <c r="Y155" s="5" t="s">
        <v>134</v>
      </c>
      <c r="Z155" s="6">
        <v>72940800</v>
      </c>
      <c r="AB155" s="5" t="s">
        <v>134</v>
      </c>
      <c r="AC155" s="5" t="s">
        <v>134</v>
      </c>
      <c r="AD155" s="5" t="s">
        <v>134</v>
      </c>
      <c r="AE155" s="6">
        <v>72940800</v>
      </c>
      <c r="AG155" t="b">
        <f t="shared" si="3"/>
        <v>1</v>
      </c>
    </row>
    <row r="156" spans="12:33" x14ac:dyDescent="0.3">
      <c r="L156" s="5" t="s">
        <v>160</v>
      </c>
      <c r="M156" s="6">
        <v>147845560</v>
      </c>
      <c r="O156" s="5" t="s">
        <v>160</v>
      </c>
      <c r="P156" s="6">
        <v>147845560</v>
      </c>
      <c r="R156" t="b">
        <f t="shared" si="2"/>
        <v>1</v>
      </c>
      <c r="Y156" s="5" t="s">
        <v>191</v>
      </c>
      <c r="Z156" s="6">
        <v>34404530</v>
      </c>
      <c r="AB156" s="5" t="s">
        <v>191</v>
      </c>
      <c r="AC156" s="5" t="s">
        <v>191</v>
      </c>
      <c r="AD156" s="5" t="s">
        <v>191</v>
      </c>
      <c r="AE156" s="6">
        <v>34404530</v>
      </c>
      <c r="AG156" t="b">
        <f t="shared" si="3"/>
        <v>1</v>
      </c>
    </row>
    <row r="157" spans="12:33" x14ac:dyDescent="0.3">
      <c r="L157" s="5" t="s">
        <v>161</v>
      </c>
      <c r="M157" s="6">
        <v>26905500</v>
      </c>
      <c r="O157" s="5" t="s">
        <v>161</v>
      </c>
      <c r="P157" s="6">
        <v>26905500</v>
      </c>
      <c r="R157" t="b">
        <f t="shared" si="2"/>
        <v>1</v>
      </c>
      <c r="Y157" s="5" t="s">
        <v>135</v>
      </c>
      <c r="Z157" s="6">
        <v>81122630</v>
      </c>
      <c r="AB157" s="5" t="s">
        <v>135</v>
      </c>
      <c r="AC157" s="5" t="s">
        <v>135</v>
      </c>
      <c r="AD157" s="5" t="s">
        <v>135</v>
      </c>
      <c r="AE157" s="6">
        <v>81122630</v>
      </c>
      <c r="AG157" t="b">
        <f t="shared" si="3"/>
        <v>1</v>
      </c>
    </row>
    <row r="158" spans="12:33" x14ac:dyDescent="0.3">
      <c r="L158" s="5" t="s">
        <v>162</v>
      </c>
      <c r="M158" s="6">
        <v>23352790</v>
      </c>
      <c r="O158" s="5" t="s">
        <v>162</v>
      </c>
      <c r="P158" s="6">
        <v>23352790</v>
      </c>
      <c r="R158" t="b">
        <f t="shared" si="2"/>
        <v>1</v>
      </c>
      <c r="Y158" s="5" t="s">
        <v>136</v>
      </c>
      <c r="Z158" s="6">
        <v>3475610559</v>
      </c>
      <c r="AB158" s="5" t="s">
        <v>136</v>
      </c>
      <c r="AC158" s="5" t="s">
        <v>136</v>
      </c>
      <c r="AD158" s="5" t="s">
        <v>136</v>
      </c>
      <c r="AE158" s="6">
        <v>3475610559</v>
      </c>
      <c r="AG158" t="b">
        <f t="shared" si="3"/>
        <v>1</v>
      </c>
    </row>
    <row r="159" spans="12:33" x14ac:dyDescent="0.3">
      <c r="L159" s="5" t="s">
        <v>163</v>
      </c>
      <c r="M159" s="6">
        <v>23440540</v>
      </c>
      <c r="O159" s="5" t="s">
        <v>163</v>
      </c>
      <c r="P159" s="6">
        <v>23440540</v>
      </c>
      <c r="R159" t="b">
        <f t="shared" si="2"/>
        <v>1</v>
      </c>
      <c r="Y159" s="5" t="s">
        <v>137</v>
      </c>
      <c r="Z159" s="6">
        <v>114753274</v>
      </c>
      <c r="AB159" s="5" t="s">
        <v>137</v>
      </c>
      <c r="AC159" s="5" t="s">
        <v>137</v>
      </c>
      <c r="AD159" s="5" t="s">
        <v>137</v>
      </c>
      <c r="AE159" s="6">
        <v>114753274</v>
      </c>
      <c r="AG159" t="b">
        <f t="shared" si="3"/>
        <v>1</v>
      </c>
    </row>
    <row r="160" spans="12:33" x14ac:dyDescent="0.3">
      <c r="L160" s="5" t="s">
        <v>164</v>
      </c>
      <c r="M160" s="6">
        <v>57736570</v>
      </c>
      <c r="O160" s="5" t="s">
        <v>164</v>
      </c>
      <c r="P160" s="6">
        <v>57736570</v>
      </c>
      <c r="R160" t="b">
        <f t="shared" si="2"/>
        <v>1</v>
      </c>
      <c r="Y160" s="5" t="s">
        <v>138</v>
      </c>
      <c r="Z160" s="6">
        <v>6670990</v>
      </c>
      <c r="AB160" s="5" t="s">
        <v>138</v>
      </c>
      <c r="AC160" s="5" t="s">
        <v>138</v>
      </c>
      <c r="AD160" s="5" t="s">
        <v>138</v>
      </c>
      <c r="AE160" s="6">
        <v>6670990</v>
      </c>
      <c r="AG160" t="b">
        <f t="shared" si="3"/>
        <v>1</v>
      </c>
    </row>
    <row r="161" spans="12:33" x14ac:dyDescent="0.3">
      <c r="L161" s="5" t="s">
        <v>165</v>
      </c>
      <c r="M161" s="6">
        <v>49414030</v>
      </c>
      <c r="O161" s="5" t="s">
        <v>165</v>
      </c>
      <c r="P161" s="6">
        <v>49414030</v>
      </c>
      <c r="R161" t="b">
        <f t="shared" si="2"/>
        <v>1</v>
      </c>
      <c r="Y161" s="5" t="s">
        <v>139</v>
      </c>
      <c r="Z161" s="6">
        <v>167766180</v>
      </c>
      <c r="AB161" s="5" t="s">
        <v>139</v>
      </c>
      <c r="AC161" s="5" t="s">
        <v>139</v>
      </c>
      <c r="AD161" s="5" t="s">
        <v>139</v>
      </c>
      <c r="AE161" s="6">
        <v>167766180</v>
      </c>
      <c r="AG161" t="b">
        <f t="shared" si="3"/>
        <v>1</v>
      </c>
    </row>
    <row r="162" spans="12:33" s="12" customFormat="1" x14ac:dyDescent="0.3">
      <c r="L162" s="10" t="s">
        <v>192</v>
      </c>
      <c r="M162" s="11">
        <v>188852700</v>
      </c>
      <c r="O162" s="10" t="s">
        <v>192</v>
      </c>
      <c r="P162" s="11">
        <v>188852700</v>
      </c>
      <c r="R162" s="12" t="b">
        <f t="shared" si="2"/>
        <v>1</v>
      </c>
      <c r="Y162" s="5" t="s">
        <v>247</v>
      </c>
      <c r="Z162" s="6">
        <v>10842350</v>
      </c>
      <c r="AB162" s="5" t="s">
        <v>247</v>
      </c>
      <c r="AC162" s="5" t="s">
        <v>247</v>
      </c>
      <c r="AD162" s="5" t="s">
        <v>247</v>
      </c>
      <c r="AE162" s="6">
        <v>10842350</v>
      </c>
      <c r="AG162" t="b">
        <f t="shared" si="3"/>
        <v>1</v>
      </c>
    </row>
    <row r="163" spans="12:33" x14ac:dyDescent="0.3">
      <c r="L163" s="5" t="s">
        <v>166</v>
      </c>
      <c r="M163" s="6">
        <v>40962320</v>
      </c>
      <c r="O163" s="5" t="s">
        <v>166</v>
      </c>
      <c r="P163" s="6">
        <v>40962320</v>
      </c>
      <c r="R163" t="b">
        <f t="shared" si="2"/>
        <v>1</v>
      </c>
      <c r="Y163" s="5" t="s">
        <v>248</v>
      </c>
      <c r="Z163" s="6">
        <v>11769730</v>
      </c>
      <c r="AB163" s="5" t="s">
        <v>248</v>
      </c>
      <c r="AC163" s="5" t="s">
        <v>248</v>
      </c>
      <c r="AD163" s="5" t="s">
        <v>248</v>
      </c>
      <c r="AE163" s="6">
        <v>11769730</v>
      </c>
      <c r="AG163" t="b">
        <f t="shared" si="3"/>
        <v>1</v>
      </c>
    </row>
    <row r="164" spans="12:33" x14ac:dyDescent="0.3">
      <c r="L164" s="5" t="s">
        <v>167</v>
      </c>
      <c r="M164" s="6">
        <v>66864300</v>
      </c>
      <c r="O164" s="5" t="s">
        <v>167</v>
      </c>
      <c r="P164" s="6">
        <v>66864300</v>
      </c>
      <c r="R164" t="b">
        <f t="shared" si="2"/>
        <v>1</v>
      </c>
      <c r="Y164" s="5" t="s">
        <v>140</v>
      </c>
      <c r="Z164" s="6">
        <v>102984294</v>
      </c>
      <c r="AB164" s="5" t="s">
        <v>140</v>
      </c>
      <c r="AC164" s="5" t="s">
        <v>140</v>
      </c>
      <c r="AD164" s="5" t="s">
        <v>140</v>
      </c>
      <c r="AE164" s="6">
        <v>102984294</v>
      </c>
      <c r="AG164" t="b">
        <f t="shared" si="3"/>
        <v>1</v>
      </c>
    </row>
    <row r="165" spans="12:33" x14ac:dyDescent="0.3">
      <c r="L165" s="5" t="s">
        <v>168</v>
      </c>
      <c r="M165" s="6">
        <v>182664850</v>
      </c>
      <c r="O165" s="5" t="s">
        <v>168</v>
      </c>
      <c r="P165" s="6">
        <v>182664850</v>
      </c>
      <c r="R165" t="b">
        <f t="shared" si="2"/>
        <v>1</v>
      </c>
      <c r="Y165" s="5" t="s">
        <v>141</v>
      </c>
      <c r="Z165" s="6">
        <v>428070080</v>
      </c>
      <c r="AB165" s="5" t="s">
        <v>141</v>
      </c>
      <c r="AC165" s="5" t="s">
        <v>141</v>
      </c>
      <c r="AD165" s="5" t="s">
        <v>141</v>
      </c>
      <c r="AE165" s="6">
        <v>428070080</v>
      </c>
      <c r="AG165" t="b">
        <f t="shared" si="3"/>
        <v>1</v>
      </c>
    </row>
    <row r="166" spans="12:33" x14ac:dyDescent="0.3">
      <c r="L166" s="5" t="s">
        <v>169</v>
      </c>
      <c r="M166" s="6">
        <v>56814490</v>
      </c>
      <c r="O166" s="5" t="s">
        <v>169</v>
      </c>
      <c r="P166" s="6">
        <v>56814490</v>
      </c>
      <c r="R166" t="b">
        <f t="shared" si="2"/>
        <v>1</v>
      </c>
      <c r="Y166" s="5" t="s">
        <v>249</v>
      </c>
      <c r="Z166" s="6">
        <v>292442550</v>
      </c>
      <c r="AB166" s="5" t="s">
        <v>249</v>
      </c>
      <c r="AC166" s="5" t="s">
        <v>249</v>
      </c>
      <c r="AD166" s="5" t="s">
        <v>249</v>
      </c>
      <c r="AE166" s="6">
        <v>292442550</v>
      </c>
      <c r="AG166" t="b">
        <f t="shared" si="3"/>
        <v>1</v>
      </c>
    </row>
    <row r="167" spans="12:33" x14ac:dyDescent="0.3">
      <c r="L167" s="5" t="s">
        <v>170</v>
      </c>
      <c r="M167" s="6">
        <v>76725720</v>
      </c>
      <c r="O167" s="5" t="s">
        <v>170</v>
      </c>
      <c r="P167" s="6">
        <v>76725720</v>
      </c>
      <c r="R167" t="b">
        <f t="shared" si="2"/>
        <v>1</v>
      </c>
      <c r="Y167" s="5" t="s">
        <v>142</v>
      </c>
      <c r="Z167" s="6">
        <v>6794800</v>
      </c>
      <c r="AB167" s="5" t="s">
        <v>142</v>
      </c>
      <c r="AC167" s="5" t="s">
        <v>142</v>
      </c>
      <c r="AD167" s="5" t="s">
        <v>142</v>
      </c>
      <c r="AE167" s="6">
        <v>6794800</v>
      </c>
      <c r="AG167" t="b">
        <f t="shared" si="3"/>
        <v>1</v>
      </c>
    </row>
    <row r="168" spans="12:33" x14ac:dyDescent="0.3">
      <c r="L168" s="5" t="s">
        <v>171</v>
      </c>
      <c r="M168" s="6">
        <v>417898370</v>
      </c>
      <c r="O168" s="5" t="s">
        <v>171</v>
      </c>
      <c r="P168" s="6">
        <v>417898370</v>
      </c>
      <c r="R168" t="b">
        <f t="shared" si="2"/>
        <v>1</v>
      </c>
      <c r="Y168" s="5" t="s">
        <v>143</v>
      </c>
      <c r="Z168" s="6">
        <v>36866490</v>
      </c>
      <c r="AB168" s="5" t="s">
        <v>143</v>
      </c>
      <c r="AC168" s="5" t="s">
        <v>143</v>
      </c>
      <c r="AD168" s="5" t="s">
        <v>143</v>
      </c>
      <c r="AE168" s="6">
        <v>36866490</v>
      </c>
      <c r="AG168" t="b">
        <f t="shared" si="3"/>
        <v>1</v>
      </c>
    </row>
    <row r="169" spans="12:33" x14ac:dyDescent="0.3">
      <c r="L169" s="5" t="s">
        <v>172</v>
      </c>
      <c r="M169" s="6">
        <v>1557513490</v>
      </c>
      <c r="O169" s="5" t="s">
        <v>172</v>
      </c>
      <c r="P169" s="6">
        <v>1557513490</v>
      </c>
      <c r="R169" t="b">
        <f t="shared" si="2"/>
        <v>1</v>
      </c>
      <c r="Y169" s="5" t="s">
        <v>144</v>
      </c>
      <c r="Z169" s="6">
        <v>96154160</v>
      </c>
      <c r="AB169" s="5" t="s">
        <v>144</v>
      </c>
      <c r="AC169" s="5" t="s">
        <v>144</v>
      </c>
      <c r="AD169" s="5" t="s">
        <v>144</v>
      </c>
      <c r="AE169" s="6">
        <v>96154160</v>
      </c>
      <c r="AG169" t="b">
        <f t="shared" si="3"/>
        <v>1</v>
      </c>
    </row>
    <row r="170" spans="12:33" x14ac:dyDescent="0.3">
      <c r="L170" s="5" t="s">
        <v>173</v>
      </c>
      <c r="M170" s="6">
        <v>7059380</v>
      </c>
      <c r="O170" s="5" t="s">
        <v>173</v>
      </c>
      <c r="P170" s="6">
        <v>7059380</v>
      </c>
      <c r="R170" t="b">
        <f t="shared" si="2"/>
        <v>1</v>
      </c>
      <c r="Y170" s="5" t="s">
        <v>145</v>
      </c>
      <c r="Z170" s="6">
        <v>1168497720</v>
      </c>
      <c r="AB170" s="5" t="s">
        <v>145</v>
      </c>
      <c r="AC170" s="5" t="s">
        <v>145</v>
      </c>
      <c r="AD170" s="5" t="s">
        <v>145</v>
      </c>
      <c r="AE170" s="6">
        <v>1168497720</v>
      </c>
      <c r="AG170" t="b">
        <f t="shared" si="3"/>
        <v>1</v>
      </c>
    </row>
    <row r="171" spans="12:33" x14ac:dyDescent="0.3">
      <c r="L171" s="5" t="s">
        <v>174</v>
      </c>
      <c r="M171" s="6">
        <v>22469820</v>
      </c>
      <c r="O171" s="5" t="s">
        <v>174</v>
      </c>
      <c r="P171" s="6">
        <v>22469820</v>
      </c>
      <c r="R171" t="b">
        <f t="shared" si="2"/>
        <v>1</v>
      </c>
      <c r="Y171" s="5" t="s">
        <v>146</v>
      </c>
      <c r="Z171" s="6">
        <v>48281600</v>
      </c>
      <c r="AB171" s="5" t="s">
        <v>146</v>
      </c>
      <c r="AC171" s="5" t="s">
        <v>146</v>
      </c>
      <c r="AD171" s="5" t="s">
        <v>146</v>
      </c>
      <c r="AE171" s="6">
        <v>48281600</v>
      </c>
      <c r="AG171" t="b">
        <f t="shared" si="3"/>
        <v>1</v>
      </c>
    </row>
    <row r="172" spans="12:33" x14ac:dyDescent="0.3">
      <c r="L172" s="5" t="s">
        <v>175</v>
      </c>
      <c r="M172" s="6">
        <v>20514960</v>
      </c>
      <c r="O172" s="5" t="s">
        <v>175</v>
      </c>
      <c r="P172" s="6">
        <v>20514960</v>
      </c>
      <c r="R172" t="b">
        <f t="shared" si="2"/>
        <v>1</v>
      </c>
      <c r="Y172" s="5" t="s">
        <v>147</v>
      </c>
      <c r="Z172" s="6">
        <v>27697880</v>
      </c>
      <c r="AB172" s="5" t="s">
        <v>147</v>
      </c>
      <c r="AC172" s="5" t="s">
        <v>147</v>
      </c>
      <c r="AD172" s="5" t="s">
        <v>147</v>
      </c>
      <c r="AE172" s="6">
        <v>27697880</v>
      </c>
      <c r="AG172" t="b">
        <f t="shared" si="3"/>
        <v>1</v>
      </c>
    </row>
    <row r="173" spans="12:33" x14ac:dyDescent="0.3">
      <c r="L173" s="5" t="s">
        <v>176</v>
      </c>
      <c r="M173" s="6">
        <v>22080400</v>
      </c>
      <c r="O173" s="5" t="s">
        <v>176</v>
      </c>
      <c r="P173" s="6">
        <v>22080400</v>
      </c>
      <c r="R173" t="b">
        <f t="shared" si="2"/>
        <v>1</v>
      </c>
      <c r="Y173" s="5" t="s">
        <v>148</v>
      </c>
      <c r="Z173" s="6">
        <v>76637381</v>
      </c>
      <c r="AB173" s="5" t="s">
        <v>148</v>
      </c>
      <c r="AC173" s="5" t="s">
        <v>148</v>
      </c>
      <c r="AD173" s="5" t="s">
        <v>148</v>
      </c>
      <c r="AE173" s="6">
        <v>76637381</v>
      </c>
      <c r="AG173" t="b">
        <f t="shared" si="3"/>
        <v>1</v>
      </c>
    </row>
    <row r="174" spans="12:33" x14ac:dyDescent="0.3">
      <c r="L174" s="5" t="s">
        <v>177</v>
      </c>
      <c r="M174" s="6">
        <v>78609420</v>
      </c>
      <c r="O174" s="5" t="s">
        <v>177</v>
      </c>
      <c r="P174" s="6">
        <v>78609420</v>
      </c>
      <c r="R174" t="b">
        <f t="shared" si="2"/>
        <v>1</v>
      </c>
      <c r="Y174" s="5" t="s">
        <v>149</v>
      </c>
      <c r="Z174" s="6">
        <v>43609800</v>
      </c>
      <c r="AB174" s="5" t="s">
        <v>149</v>
      </c>
      <c r="AC174" s="5" t="s">
        <v>149</v>
      </c>
      <c r="AD174" s="5" t="s">
        <v>149</v>
      </c>
      <c r="AE174" s="6">
        <v>43609800</v>
      </c>
      <c r="AG174" t="b">
        <f t="shared" si="3"/>
        <v>1</v>
      </c>
    </row>
    <row r="175" spans="12:33" x14ac:dyDescent="0.3">
      <c r="L175" s="5" t="s">
        <v>178</v>
      </c>
      <c r="M175" s="6">
        <v>32228300</v>
      </c>
      <c r="O175" s="5" t="s">
        <v>178</v>
      </c>
      <c r="P175" s="6">
        <v>32228300</v>
      </c>
      <c r="R175" t="b">
        <f t="shared" si="2"/>
        <v>1</v>
      </c>
      <c r="Y175" s="5" t="s">
        <v>150</v>
      </c>
      <c r="Z175" s="6">
        <v>26374328</v>
      </c>
      <c r="AB175" s="5" t="s">
        <v>150</v>
      </c>
      <c r="AC175" s="5" t="s">
        <v>150</v>
      </c>
      <c r="AD175" s="5" t="s">
        <v>150</v>
      </c>
      <c r="AE175" s="6">
        <v>26374328</v>
      </c>
      <c r="AG175" t="b">
        <f t="shared" si="3"/>
        <v>1</v>
      </c>
    </row>
    <row r="176" spans="12:33" s="12" customFormat="1" x14ac:dyDescent="0.3">
      <c r="L176" s="10" t="s">
        <v>193</v>
      </c>
      <c r="M176" s="11">
        <v>39054530</v>
      </c>
      <c r="O176" s="10" t="s">
        <v>193</v>
      </c>
      <c r="P176" s="11">
        <v>39054530</v>
      </c>
      <c r="R176" s="12" t="b">
        <f t="shared" si="2"/>
        <v>1</v>
      </c>
      <c r="Y176" s="5" t="s">
        <v>151</v>
      </c>
      <c r="Z176" s="6">
        <v>61270020</v>
      </c>
      <c r="AB176" s="5" t="s">
        <v>151</v>
      </c>
      <c r="AC176" s="5" t="s">
        <v>151</v>
      </c>
      <c r="AD176" s="5" t="s">
        <v>151</v>
      </c>
      <c r="AE176" s="6">
        <v>61270020</v>
      </c>
      <c r="AG176" t="b">
        <f t="shared" si="3"/>
        <v>1</v>
      </c>
    </row>
    <row r="177" spans="12:33" x14ac:dyDescent="0.3">
      <c r="L177" s="5" t="s">
        <v>179</v>
      </c>
      <c r="M177" s="6">
        <v>114041969</v>
      </c>
      <c r="O177" s="5" t="s">
        <v>179</v>
      </c>
      <c r="P177" s="6">
        <v>114041969</v>
      </c>
      <c r="R177" t="b">
        <f t="shared" ref="R177:R195" si="4">M177=P177</f>
        <v>1</v>
      </c>
      <c r="Y177" s="5" t="s">
        <v>152</v>
      </c>
      <c r="Z177" s="6">
        <v>1039939770</v>
      </c>
      <c r="AB177" s="5" t="s">
        <v>152</v>
      </c>
      <c r="AC177" s="5" t="s">
        <v>152</v>
      </c>
      <c r="AD177" s="5" t="s">
        <v>152</v>
      </c>
      <c r="AE177" s="6">
        <v>1039939770</v>
      </c>
      <c r="AG177" t="b">
        <f t="shared" ref="AG177:AG239" si="5">AE177=Z177</f>
        <v>1</v>
      </c>
    </row>
    <row r="178" spans="12:33" x14ac:dyDescent="0.3">
      <c r="L178" s="5" t="s">
        <v>180</v>
      </c>
      <c r="M178" s="6">
        <v>63025130</v>
      </c>
      <c r="O178" s="5" t="s">
        <v>180</v>
      </c>
      <c r="P178" s="6">
        <v>63025130</v>
      </c>
      <c r="R178" t="b">
        <f t="shared" si="4"/>
        <v>1</v>
      </c>
      <c r="Y178" s="5" t="s">
        <v>153</v>
      </c>
      <c r="Z178" s="6">
        <v>77855490</v>
      </c>
      <c r="AB178" s="5" t="s">
        <v>153</v>
      </c>
      <c r="AC178" s="5" t="s">
        <v>153</v>
      </c>
      <c r="AD178" s="5" t="s">
        <v>153</v>
      </c>
      <c r="AE178" s="6">
        <v>77855490</v>
      </c>
      <c r="AG178" t="b">
        <f t="shared" si="5"/>
        <v>1</v>
      </c>
    </row>
    <row r="179" spans="12:33" x14ac:dyDescent="0.3">
      <c r="L179" s="5" t="s">
        <v>181</v>
      </c>
      <c r="M179" s="6">
        <v>315304450</v>
      </c>
      <c r="O179" s="5" t="s">
        <v>181</v>
      </c>
      <c r="P179" s="6">
        <v>315304450</v>
      </c>
      <c r="R179" t="b">
        <f t="shared" si="4"/>
        <v>1</v>
      </c>
      <c r="Y179" s="5" t="s">
        <v>154</v>
      </c>
      <c r="Z179" s="6">
        <v>25337170</v>
      </c>
      <c r="AB179" s="5" t="s">
        <v>154</v>
      </c>
      <c r="AC179" s="5" t="s">
        <v>154</v>
      </c>
      <c r="AD179" s="5" t="s">
        <v>154</v>
      </c>
      <c r="AE179" s="6">
        <v>25337170</v>
      </c>
      <c r="AG179" t="b">
        <f t="shared" si="5"/>
        <v>1</v>
      </c>
    </row>
    <row r="180" spans="12:33" x14ac:dyDescent="0.3">
      <c r="L180" s="5" t="s">
        <v>182</v>
      </c>
      <c r="M180" s="6">
        <v>49055160</v>
      </c>
      <c r="O180" s="5" t="s">
        <v>182</v>
      </c>
      <c r="P180" s="6">
        <v>49055160</v>
      </c>
      <c r="R180" t="b">
        <f t="shared" si="4"/>
        <v>1</v>
      </c>
      <c r="Y180" s="5" t="s">
        <v>155</v>
      </c>
      <c r="Z180" s="6">
        <v>65794020</v>
      </c>
      <c r="AB180" s="5" t="s">
        <v>155</v>
      </c>
      <c r="AC180" s="5" t="s">
        <v>155</v>
      </c>
      <c r="AD180" s="5" t="s">
        <v>155</v>
      </c>
      <c r="AE180" s="6">
        <v>65794020</v>
      </c>
      <c r="AG180" t="b">
        <f t="shared" si="5"/>
        <v>1</v>
      </c>
    </row>
    <row r="181" spans="12:33" x14ac:dyDescent="0.3">
      <c r="L181" s="5" t="s">
        <v>183</v>
      </c>
      <c r="M181" s="6">
        <v>439698158</v>
      </c>
      <c r="O181" s="5" t="s">
        <v>183</v>
      </c>
      <c r="P181" s="6">
        <v>439698158</v>
      </c>
      <c r="R181" t="b">
        <f t="shared" si="4"/>
        <v>1</v>
      </c>
      <c r="Y181" s="5" t="s">
        <v>156</v>
      </c>
      <c r="Z181" s="6">
        <v>51514180</v>
      </c>
      <c r="AB181" s="5" t="s">
        <v>156</v>
      </c>
      <c r="AC181" s="5" t="s">
        <v>156</v>
      </c>
      <c r="AD181" s="5" t="s">
        <v>156</v>
      </c>
      <c r="AE181" s="6">
        <v>51514180</v>
      </c>
      <c r="AG181" t="b">
        <f t="shared" si="5"/>
        <v>1</v>
      </c>
    </row>
    <row r="182" spans="12:33" s="12" customFormat="1" x14ac:dyDescent="0.3">
      <c r="L182" s="10" t="s">
        <v>194</v>
      </c>
      <c r="M182" s="11">
        <v>153977190</v>
      </c>
      <c r="O182" s="10" t="s">
        <v>194</v>
      </c>
      <c r="P182" s="11">
        <v>153977190</v>
      </c>
      <c r="R182" s="12" t="b">
        <f t="shared" si="4"/>
        <v>1</v>
      </c>
      <c r="Y182" s="5" t="s">
        <v>157</v>
      </c>
      <c r="Z182" s="6">
        <v>9347150</v>
      </c>
      <c r="AB182" s="5" t="s">
        <v>157</v>
      </c>
      <c r="AC182" s="5" t="s">
        <v>157</v>
      </c>
      <c r="AD182" s="5" t="s">
        <v>157</v>
      </c>
      <c r="AE182" s="6">
        <v>9347150</v>
      </c>
      <c r="AG182" t="b">
        <f t="shared" si="5"/>
        <v>1</v>
      </c>
    </row>
    <row r="183" spans="12:33" x14ac:dyDescent="0.3">
      <c r="L183" s="5" t="s">
        <v>184</v>
      </c>
      <c r="M183" s="6">
        <v>1871022910</v>
      </c>
      <c r="O183" s="5" t="s">
        <v>184</v>
      </c>
      <c r="P183" s="6">
        <v>1871022910</v>
      </c>
      <c r="R183" t="b">
        <f t="shared" si="4"/>
        <v>1</v>
      </c>
      <c r="Y183" s="5" t="s">
        <v>250</v>
      </c>
      <c r="Z183" s="6">
        <v>8753590</v>
      </c>
      <c r="AB183" s="5" t="s">
        <v>250</v>
      </c>
      <c r="AC183" s="5" t="s">
        <v>250</v>
      </c>
      <c r="AD183" s="5" t="s">
        <v>250</v>
      </c>
      <c r="AE183" s="6">
        <v>8753590</v>
      </c>
      <c r="AG183" t="b">
        <f t="shared" si="5"/>
        <v>1</v>
      </c>
    </row>
    <row r="184" spans="12:33" x14ac:dyDescent="0.3">
      <c r="L184" s="5" t="s">
        <v>185</v>
      </c>
      <c r="M184" s="6">
        <v>113525020</v>
      </c>
      <c r="O184" s="5" t="s">
        <v>185</v>
      </c>
      <c r="P184" s="6">
        <v>113525020</v>
      </c>
      <c r="R184" t="b">
        <f t="shared" si="4"/>
        <v>1</v>
      </c>
      <c r="Y184" s="5" t="s">
        <v>251</v>
      </c>
      <c r="Z184" s="6">
        <v>9403880</v>
      </c>
      <c r="AB184" s="5" t="s">
        <v>251</v>
      </c>
      <c r="AC184" s="5" t="s">
        <v>251</v>
      </c>
      <c r="AD184" s="5" t="s">
        <v>251</v>
      </c>
      <c r="AE184" s="6">
        <v>9403880</v>
      </c>
      <c r="AG184" t="b">
        <f t="shared" si="5"/>
        <v>1</v>
      </c>
    </row>
    <row r="185" spans="12:33" x14ac:dyDescent="0.3">
      <c r="L185" s="5" t="s">
        <v>186</v>
      </c>
      <c r="M185" s="6">
        <v>4482100</v>
      </c>
      <c r="O185" s="5" t="s">
        <v>186</v>
      </c>
      <c r="P185" s="6">
        <v>4482100</v>
      </c>
      <c r="R185" t="b">
        <f t="shared" si="4"/>
        <v>1</v>
      </c>
      <c r="Y185" s="5" t="s">
        <v>252</v>
      </c>
      <c r="Z185" s="6">
        <v>103150970</v>
      </c>
      <c r="AB185" s="5" t="s">
        <v>252</v>
      </c>
      <c r="AC185" s="5" t="s">
        <v>252</v>
      </c>
      <c r="AD185" s="5" t="s">
        <v>252</v>
      </c>
      <c r="AE185" s="6">
        <v>103150970</v>
      </c>
      <c r="AG185" t="b">
        <f t="shared" si="5"/>
        <v>1</v>
      </c>
    </row>
    <row r="186" spans="12:33" x14ac:dyDescent="0.3">
      <c r="L186" s="5" t="s">
        <v>187</v>
      </c>
      <c r="M186" s="6">
        <v>21814830</v>
      </c>
      <c r="O186" s="5" t="s">
        <v>187</v>
      </c>
      <c r="P186" s="6">
        <v>21814830</v>
      </c>
      <c r="R186" t="b">
        <f t="shared" si="4"/>
        <v>1</v>
      </c>
      <c r="Y186" s="5" t="s">
        <v>253</v>
      </c>
      <c r="Z186" s="6">
        <v>15846320</v>
      </c>
      <c r="AB186" s="5" t="s">
        <v>253</v>
      </c>
      <c r="AC186" s="5" t="s">
        <v>253</v>
      </c>
      <c r="AD186" s="5" t="s">
        <v>253</v>
      </c>
      <c r="AE186" s="6">
        <v>15846320</v>
      </c>
      <c r="AG186" t="b">
        <f t="shared" si="5"/>
        <v>1</v>
      </c>
    </row>
    <row r="187" spans="12:33" x14ac:dyDescent="0.3">
      <c r="L187" s="5" t="s">
        <v>188</v>
      </c>
      <c r="M187" s="6">
        <v>27271240</v>
      </c>
      <c r="O187" s="5" t="s">
        <v>188</v>
      </c>
      <c r="P187" s="6">
        <v>27271240</v>
      </c>
      <c r="R187" t="b">
        <f t="shared" si="4"/>
        <v>1</v>
      </c>
      <c r="Y187" s="5" t="s">
        <v>158</v>
      </c>
      <c r="Z187" s="6">
        <v>404027480</v>
      </c>
      <c r="AB187" s="5" t="s">
        <v>158</v>
      </c>
      <c r="AC187" s="5" t="s">
        <v>158</v>
      </c>
      <c r="AD187" s="5" t="s">
        <v>158</v>
      </c>
      <c r="AE187" s="6">
        <v>404027480</v>
      </c>
      <c r="AG187" t="b">
        <f t="shared" si="5"/>
        <v>1</v>
      </c>
    </row>
    <row r="188" spans="12:33" x14ac:dyDescent="0.3">
      <c r="L188" s="5" t="s">
        <v>189</v>
      </c>
      <c r="M188" s="6">
        <v>175156530</v>
      </c>
      <c r="O188" s="5" t="s">
        <v>189</v>
      </c>
      <c r="P188" s="6">
        <v>175156530</v>
      </c>
      <c r="R188" t="b">
        <f t="shared" si="4"/>
        <v>1</v>
      </c>
      <c r="Y188" s="5" t="s">
        <v>254</v>
      </c>
      <c r="Z188" s="6">
        <v>237692590</v>
      </c>
      <c r="AB188" s="5" t="s">
        <v>254</v>
      </c>
      <c r="AC188" s="5" t="s">
        <v>254</v>
      </c>
      <c r="AD188" s="5" t="s">
        <v>254</v>
      </c>
      <c r="AE188" s="6">
        <v>237692590</v>
      </c>
      <c r="AG188" t="b">
        <f t="shared" si="5"/>
        <v>1</v>
      </c>
    </row>
    <row r="189" spans="12:33" x14ac:dyDescent="0.3">
      <c r="L189" s="5" t="s">
        <v>190</v>
      </c>
      <c r="M189" s="6">
        <v>58802160</v>
      </c>
      <c r="O189" s="5" t="s">
        <v>190</v>
      </c>
      <c r="P189" s="6">
        <v>58802160</v>
      </c>
      <c r="R189" t="b">
        <f t="shared" si="4"/>
        <v>1</v>
      </c>
      <c r="Y189" s="5" t="s">
        <v>159</v>
      </c>
      <c r="Z189" s="6">
        <v>14615570</v>
      </c>
      <c r="AB189" s="5" t="s">
        <v>159</v>
      </c>
      <c r="AC189" s="5" t="s">
        <v>159</v>
      </c>
      <c r="AD189" s="5" t="s">
        <v>159</v>
      </c>
      <c r="AE189" s="6">
        <v>14615570</v>
      </c>
      <c r="AG189" t="b">
        <f t="shared" si="5"/>
        <v>1</v>
      </c>
    </row>
    <row r="190" spans="12:33" x14ac:dyDescent="0.3">
      <c r="L190" s="5" t="s">
        <v>195</v>
      </c>
      <c r="M190" s="6">
        <v>285588300</v>
      </c>
      <c r="O190" s="5" t="s">
        <v>195</v>
      </c>
      <c r="P190" s="6">
        <v>285588300</v>
      </c>
      <c r="R190" t="b">
        <f t="shared" si="4"/>
        <v>1</v>
      </c>
      <c r="Y190" s="5" t="s">
        <v>160</v>
      </c>
      <c r="Z190" s="6">
        <v>247680690</v>
      </c>
      <c r="AB190" s="5" t="s">
        <v>160</v>
      </c>
      <c r="AC190" s="5" t="s">
        <v>160</v>
      </c>
      <c r="AD190" s="5" t="s">
        <v>160</v>
      </c>
      <c r="AE190" s="6">
        <v>247680690</v>
      </c>
      <c r="AG190" t="b">
        <f t="shared" si="5"/>
        <v>1</v>
      </c>
    </row>
    <row r="191" spans="12:33" x14ac:dyDescent="0.3">
      <c r="L191" s="5" t="s">
        <v>196</v>
      </c>
      <c r="M191" s="6">
        <v>61581620</v>
      </c>
      <c r="O191" s="5" t="s">
        <v>196</v>
      </c>
      <c r="P191" s="6">
        <v>61581620</v>
      </c>
      <c r="R191" t="b">
        <f t="shared" si="4"/>
        <v>1</v>
      </c>
      <c r="Y191" s="5" t="s">
        <v>161</v>
      </c>
      <c r="Z191" s="6">
        <v>24766080</v>
      </c>
      <c r="AB191" s="5" t="s">
        <v>161</v>
      </c>
      <c r="AC191" s="5" t="s">
        <v>161</v>
      </c>
      <c r="AD191" s="5" t="s">
        <v>161</v>
      </c>
      <c r="AE191" s="6">
        <v>24766080</v>
      </c>
      <c r="AG191" t="b">
        <f t="shared" si="5"/>
        <v>1</v>
      </c>
    </row>
    <row r="192" spans="12:33" x14ac:dyDescent="0.3">
      <c r="L192" s="5" t="s">
        <v>197</v>
      </c>
      <c r="M192" s="6">
        <v>129840180</v>
      </c>
      <c r="O192" s="5" t="s">
        <v>197</v>
      </c>
      <c r="P192" s="6">
        <v>129840180</v>
      </c>
      <c r="R192" t="b">
        <f t="shared" si="4"/>
        <v>1</v>
      </c>
      <c r="Y192" s="5" t="s">
        <v>162</v>
      </c>
      <c r="Z192" s="6">
        <v>1138608310</v>
      </c>
      <c r="AB192" s="5" t="s">
        <v>162</v>
      </c>
      <c r="AC192" s="5" t="s">
        <v>162</v>
      </c>
      <c r="AD192" s="5" t="s">
        <v>162</v>
      </c>
      <c r="AE192" s="6">
        <v>1138608310</v>
      </c>
      <c r="AG192" t="b">
        <f t="shared" si="5"/>
        <v>1</v>
      </c>
    </row>
    <row r="193" spans="12:33" x14ac:dyDescent="0.3">
      <c r="L193" s="5" t="s">
        <v>198</v>
      </c>
      <c r="M193" s="6">
        <v>143455650</v>
      </c>
      <c r="O193" s="5" t="s">
        <v>198</v>
      </c>
      <c r="P193" s="6">
        <v>143455650</v>
      </c>
      <c r="R193" t="b">
        <f t="shared" si="4"/>
        <v>1</v>
      </c>
      <c r="Y193" s="5" t="s">
        <v>163</v>
      </c>
      <c r="Z193" s="6">
        <v>18320860</v>
      </c>
      <c r="AB193" s="5" t="s">
        <v>163</v>
      </c>
      <c r="AC193" s="5" t="s">
        <v>163</v>
      </c>
      <c r="AD193" s="5" t="s">
        <v>163</v>
      </c>
      <c r="AE193" s="6">
        <v>18320860</v>
      </c>
      <c r="AG193" t="b">
        <f t="shared" si="5"/>
        <v>1</v>
      </c>
    </row>
    <row r="194" spans="12:33" x14ac:dyDescent="0.3">
      <c r="L194" s="5" t="s">
        <v>199</v>
      </c>
      <c r="M194" s="6">
        <v>70748630</v>
      </c>
      <c r="O194" s="5" t="s">
        <v>199</v>
      </c>
      <c r="P194" s="6">
        <v>70748630</v>
      </c>
      <c r="R194" t="b">
        <f t="shared" si="4"/>
        <v>1</v>
      </c>
      <c r="Y194" s="5" t="s">
        <v>164</v>
      </c>
      <c r="Z194" s="6">
        <v>47315480</v>
      </c>
      <c r="AB194" s="5" t="s">
        <v>164</v>
      </c>
      <c r="AC194" s="5" t="s">
        <v>164</v>
      </c>
      <c r="AD194" s="5" t="s">
        <v>164</v>
      </c>
      <c r="AE194" s="6">
        <v>47315480</v>
      </c>
      <c r="AG194" t="b">
        <f t="shared" si="5"/>
        <v>1</v>
      </c>
    </row>
    <row r="195" spans="12:33" x14ac:dyDescent="0.3">
      <c r="L195" s="5" t="s">
        <v>200</v>
      </c>
      <c r="M195" s="6">
        <v>1790984691</v>
      </c>
      <c r="O195" s="5" t="s">
        <v>200</v>
      </c>
      <c r="P195" s="6">
        <v>1790984691</v>
      </c>
      <c r="R195" t="b">
        <f t="shared" si="4"/>
        <v>1</v>
      </c>
      <c r="Y195" s="5" t="s">
        <v>165</v>
      </c>
      <c r="Z195" s="6">
        <v>35509650</v>
      </c>
      <c r="AB195" s="5" t="s">
        <v>165</v>
      </c>
      <c r="AC195" s="5" t="s">
        <v>165</v>
      </c>
      <c r="AD195" s="5" t="s">
        <v>165</v>
      </c>
      <c r="AE195" s="6">
        <v>35509650</v>
      </c>
      <c r="AG195" t="b">
        <f t="shared" si="5"/>
        <v>1</v>
      </c>
    </row>
    <row r="196" spans="12:33" x14ac:dyDescent="0.3">
      <c r="L196" s="5"/>
      <c r="M196" s="6"/>
      <c r="P196" s="4">
        <f>SUM(P48:P195)</f>
        <v>60177395218</v>
      </c>
      <c r="Y196" s="5" t="s">
        <v>192</v>
      </c>
      <c r="Z196" s="6">
        <v>104137400</v>
      </c>
      <c r="AB196" s="5" t="s">
        <v>192</v>
      </c>
      <c r="AC196" s="5" t="s">
        <v>192</v>
      </c>
      <c r="AD196" s="5" t="s">
        <v>192</v>
      </c>
      <c r="AE196" s="6">
        <v>104137400</v>
      </c>
      <c r="AG196" t="b">
        <f t="shared" si="5"/>
        <v>1</v>
      </c>
    </row>
    <row r="197" spans="12:33" x14ac:dyDescent="0.3">
      <c r="L197" s="5"/>
      <c r="M197" s="6"/>
      <c r="Y197" s="5" t="s">
        <v>166</v>
      </c>
      <c r="Z197" s="6">
        <v>29203340</v>
      </c>
      <c r="AB197" s="5" t="s">
        <v>166</v>
      </c>
      <c r="AC197" s="5" t="s">
        <v>166</v>
      </c>
      <c r="AD197" s="5" t="s">
        <v>166</v>
      </c>
      <c r="AE197" s="6">
        <v>29203340</v>
      </c>
      <c r="AG197" t="b">
        <f t="shared" si="5"/>
        <v>1</v>
      </c>
    </row>
    <row r="198" spans="12:33" x14ac:dyDescent="0.3">
      <c r="L198" s="5"/>
      <c r="M198" s="6"/>
      <c r="Y198" s="5" t="s">
        <v>167</v>
      </c>
      <c r="Z198" s="6">
        <v>53655340</v>
      </c>
      <c r="AB198" s="5" t="s">
        <v>167</v>
      </c>
      <c r="AC198" s="5" t="s">
        <v>167</v>
      </c>
      <c r="AD198" s="5" t="s">
        <v>167</v>
      </c>
      <c r="AE198" s="6">
        <v>53655340</v>
      </c>
      <c r="AG198" t="b">
        <f t="shared" si="5"/>
        <v>1</v>
      </c>
    </row>
    <row r="199" spans="12:33" x14ac:dyDescent="0.3">
      <c r="L199" s="5"/>
      <c r="M199" s="6"/>
      <c r="Y199" s="5" t="s">
        <v>168</v>
      </c>
      <c r="Z199" s="6">
        <v>96111550</v>
      </c>
      <c r="AB199" s="5" t="s">
        <v>168</v>
      </c>
      <c r="AC199" s="5" t="s">
        <v>168</v>
      </c>
      <c r="AD199" s="5" t="s">
        <v>168</v>
      </c>
      <c r="AE199" s="6">
        <v>96111550</v>
      </c>
      <c r="AG199" t="b">
        <f t="shared" si="5"/>
        <v>1</v>
      </c>
    </row>
    <row r="200" spans="12:33" x14ac:dyDescent="0.3">
      <c r="Y200" s="5" t="s">
        <v>169</v>
      </c>
      <c r="Z200" s="6">
        <v>52448490</v>
      </c>
      <c r="AB200" s="5" t="s">
        <v>169</v>
      </c>
      <c r="AC200" s="5" t="s">
        <v>169</v>
      </c>
      <c r="AD200" s="5" t="s">
        <v>169</v>
      </c>
      <c r="AE200" s="6">
        <v>52448490</v>
      </c>
      <c r="AG200" t="b">
        <f t="shared" si="5"/>
        <v>1</v>
      </c>
    </row>
    <row r="201" spans="12:33" x14ac:dyDescent="0.3">
      <c r="Y201" s="5" t="s">
        <v>170</v>
      </c>
      <c r="Z201" s="6">
        <v>67892460</v>
      </c>
      <c r="AB201" s="5" t="s">
        <v>170</v>
      </c>
      <c r="AC201" s="5" t="s">
        <v>170</v>
      </c>
      <c r="AD201" s="5" t="s">
        <v>170</v>
      </c>
      <c r="AE201" s="6">
        <v>67892460</v>
      </c>
      <c r="AG201" t="b">
        <f t="shared" si="5"/>
        <v>1</v>
      </c>
    </row>
    <row r="202" spans="12:33" x14ac:dyDescent="0.3">
      <c r="Y202" s="5" t="s">
        <v>255</v>
      </c>
      <c r="Z202" s="6">
        <v>8089000</v>
      </c>
      <c r="AB202" s="5" t="s">
        <v>255</v>
      </c>
      <c r="AC202" s="5" t="s">
        <v>255</v>
      </c>
      <c r="AD202" s="5" t="s">
        <v>255</v>
      </c>
      <c r="AE202" s="6">
        <v>8089000</v>
      </c>
      <c r="AG202" t="b">
        <f t="shared" si="5"/>
        <v>1</v>
      </c>
    </row>
    <row r="203" spans="12:33" x14ac:dyDescent="0.3">
      <c r="Y203" s="5" t="s">
        <v>256</v>
      </c>
      <c r="Z203" s="6">
        <v>14485130</v>
      </c>
      <c r="AB203" s="5" t="s">
        <v>256</v>
      </c>
      <c r="AC203" s="5" t="s">
        <v>256</v>
      </c>
      <c r="AD203" s="5" t="s">
        <v>256</v>
      </c>
      <c r="AE203" s="6">
        <v>14485130</v>
      </c>
      <c r="AG203" t="b">
        <f t="shared" si="5"/>
        <v>1</v>
      </c>
    </row>
    <row r="204" spans="12:33" x14ac:dyDescent="0.3">
      <c r="Y204" s="5" t="s">
        <v>257</v>
      </c>
      <c r="Z204" s="6">
        <v>88944570</v>
      </c>
      <c r="AB204" s="5" t="s">
        <v>257</v>
      </c>
      <c r="AC204" s="5" t="s">
        <v>257</v>
      </c>
      <c r="AD204" s="5" t="s">
        <v>257</v>
      </c>
      <c r="AE204" s="6">
        <v>88944570</v>
      </c>
      <c r="AG204" t="b">
        <f t="shared" si="5"/>
        <v>1</v>
      </c>
    </row>
    <row r="205" spans="12:33" x14ac:dyDescent="0.3">
      <c r="Y205" s="5" t="s">
        <v>258</v>
      </c>
      <c r="Z205" s="6">
        <v>10059500</v>
      </c>
      <c r="AB205" s="5" t="s">
        <v>258</v>
      </c>
      <c r="AC205" s="5" t="s">
        <v>258</v>
      </c>
      <c r="AD205" s="5" t="s">
        <v>258</v>
      </c>
      <c r="AE205" s="6">
        <v>10059500</v>
      </c>
      <c r="AG205" t="b">
        <f t="shared" si="5"/>
        <v>1</v>
      </c>
    </row>
    <row r="206" spans="12:33" x14ac:dyDescent="0.3">
      <c r="Y206" s="5" t="s">
        <v>259</v>
      </c>
      <c r="Z206" s="6">
        <v>17993370</v>
      </c>
      <c r="AB206" s="5" t="s">
        <v>259</v>
      </c>
      <c r="AC206" s="5" t="s">
        <v>259</v>
      </c>
      <c r="AD206" s="5" t="s">
        <v>259</v>
      </c>
      <c r="AE206" s="6">
        <v>17993370</v>
      </c>
      <c r="AG206" t="b">
        <f t="shared" si="5"/>
        <v>1</v>
      </c>
    </row>
    <row r="207" spans="12:33" x14ac:dyDescent="0.3">
      <c r="Y207" s="5" t="s">
        <v>172</v>
      </c>
      <c r="Z207" s="6">
        <v>405494130</v>
      </c>
      <c r="AB207" s="5" t="s">
        <v>172</v>
      </c>
      <c r="AC207" s="5" t="s">
        <v>172</v>
      </c>
      <c r="AD207" s="5" t="s">
        <v>172</v>
      </c>
      <c r="AE207" s="6">
        <v>405494130</v>
      </c>
      <c r="AG207" t="b">
        <f t="shared" si="5"/>
        <v>1</v>
      </c>
    </row>
    <row r="208" spans="12:33" x14ac:dyDescent="0.3">
      <c r="Y208" s="5" t="s">
        <v>260</v>
      </c>
      <c r="Z208" s="6">
        <v>296371800</v>
      </c>
      <c r="AB208" s="5" t="s">
        <v>260</v>
      </c>
      <c r="AC208" s="5" t="s">
        <v>260</v>
      </c>
      <c r="AD208" s="5" t="s">
        <v>260</v>
      </c>
      <c r="AE208" s="6">
        <v>296371800</v>
      </c>
      <c r="AG208" t="b">
        <f t="shared" si="5"/>
        <v>1</v>
      </c>
    </row>
    <row r="209" spans="25:33" x14ac:dyDescent="0.3">
      <c r="Y209" s="5" t="s">
        <v>173</v>
      </c>
      <c r="Z209" s="6">
        <v>7510490</v>
      </c>
      <c r="AB209" s="5" t="s">
        <v>173</v>
      </c>
      <c r="AC209" s="5" t="s">
        <v>173</v>
      </c>
      <c r="AD209" s="5" t="s">
        <v>173</v>
      </c>
      <c r="AE209" s="6">
        <v>7510490</v>
      </c>
      <c r="AG209" t="b">
        <f t="shared" si="5"/>
        <v>1</v>
      </c>
    </row>
    <row r="210" spans="25:33" x14ac:dyDescent="0.3">
      <c r="Y210" s="5" t="s">
        <v>174</v>
      </c>
      <c r="Z210" s="6">
        <v>18561350</v>
      </c>
      <c r="AB210" s="5" t="s">
        <v>174</v>
      </c>
      <c r="AC210" s="5" t="s">
        <v>174</v>
      </c>
      <c r="AD210" s="5" t="s">
        <v>174</v>
      </c>
      <c r="AE210" s="6">
        <v>18561350</v>
      </c>
      <c r="AG210" t="b">
        <f t="shared" si="5"/>
        <v>1</v>
      </c>
    </row>
    <row r="211" spans="25:33" x14ac:dyDescent="0.3">
      <c r="Y211" s="5" t="s">
        <v>175</v>
      </c>
      <c r="Z211" s="6">
        <v>1409357000</v>
      </c>
      <c r="AB211" s="5" t="s">
        <v>175</v>
      </c>
      <c r="AC211" s="5" t="s">
        <v>175</v>
      </c>
      <c r="AD211" s="5" t="s">
        <v>175</v>
      </c>
      <c r="AE211" s="6">
        <v>1409357000</v>
      </c>
      <c r="AG211" t="b">
        <f t="shared" si="5"/>
        <v>1</v>
      </c>
    </row>
    <row r="212" spans="25:33" x14ac:dyDescent="0.3">
      <c r="Y212" s="5" t="s">
        <v>176</v>
      </c>
      <c r="Z212" s="6">
        <v>19116220</v>
      </c>
      <c r="AB212" s="5" t="s">
        <v>176</v>
      </c>
      <c r="AC212" s="5" t="s">
        <v>176</v>
      </c>
      <c r="AD212" s="5" t="s">
        <v>176</v>
      </c>
      <c r="AE212" s="6">
        <v>19116220</v>
      </c>
      <c r="AG212" t="b">
        <f t="shared" si="5"/>
        <v>1</v>
      </c>
    </row>
    <row r="213" spans="25:33" x14ac:dyDescent="0.3">
      <c r="Y213" s="5" t="s">
        <v>177</v>
      </c>
      <c r="Z213" s="6">
        <v>69908480</v>
      </c>
      <c r="AB213" s="5" t="s">
        <v>177</v>
      </c>
      <c r="AC213" s="5" t="s">
        <v>177</v>
      </c>
      <c r="AD213" s="5" t="s">
        <v>177</v>
      </c>
      <c r="AE213" s="6">
        <v>69908480</v>
      </c>
      <c r="AG213" t="b">
        <f t="shared" si="5"/>
        <v>1</v>
      </c>
    </row>
    <row r="214" spans="25:33" x14ac:dyDescent="0.3">
      <c r="Y214" s="5" t="s">
        <v>178</v>
      </c>
      <c r="Z214" s="6">
        <v>26027950</v>
      </c>
      <c r="AB214" s="5" t="s">
        <v>178</v>
      </c>
      <c r="AC214" s="5" t="s">
        <v>178</v>
      </c>
      <c r="AD214" s="5" t="s">
        <v>178</v>
      </c>
      <c r="AE214" s="6">
        <v>26027950</v>
      </c>
      <c r="AG214" t="b">
        <f t="shared" si="5"/>
        <v>1</v>
      </c>
    </row>
    <row r="215" spans="25:33" x14ac:dyDescent="0.3">
      <c r="Y215" s="5" t="s">
        <v>193</v>
      </c>
      <c r="Z215" s="6">
        <v>33199220</v>
      </c>
      <c r="AB215" s="5" t="s">
        <v>193</v>
      </c>
      <c r="AC215" s="5" t="s">
        <v>193</v>
      </c>
      <c r="AD215" s="5" t="s">
        <v>193</v>
      </c>
      <c r="AE215" s="6">
        <v>33199220</v>
      </c>
      <c r="AG215" t="b">
        <f t="shared" si="5"/>
        <v>1</v>
      </c>
    </row>
    <row r="216" spans="25:33" x14ac:dyDescent="0.3">
      <c r="Y216" s="5" t="s">
        <v>179</v>
      </c>
      <c r="Z216" s="6">
        <v>102819909</v>
      </c>
      <c r="AB216" s="5" t="s">
        <v>179</v>
      </c>
      <c r="AC216" s="5" t="s">
        <v>179</v>
      </c>
      <c r="AD216" s="5" t="s">
        <v>179</v>
      </c>
      <c r="AE216" s="6">
        <v>102819909</v>
      </c>
      <c r="AG216" t="b">
        <f t="shared" si="5"/>
        <v>1</v>
      </c>
    </row>
    <row r="217" spans="25:33" x14ac:dyDescent="0.3">
      <c r="Y217" s="5" t="s">
        <v>180</v>
      </c>
      <c r="Z217" s="6">
        <v>53173460</v>
      </c>
      <c r="AB217" s="5" t="s">
        <v>180</v>
      </c>
      <c r="AC217" s="5" t="s">
        <v>180</v>
      </c>
      <c r="AD217" s="5" t="s">
        <v>180</v>
      </c>
      <c r="AE217" s="6">
        <v>53173460</v>
      </c>
      <c r="AG217" t="b">
        <f t="shared" si="5"/>
        <v>1</v>
      </c>
    </row>
    <row r="218" spans="25:33" x14ac:dyDescent="0.3">
      <c r="Y218" s="5" t="s">
        <v>181</v>
      </c>
      <c r="Z218" s="6">
        <v>78525560</v>
      </c>
      <c r="AB218" s="5" t="s">
        <v>181</v>
      </c>
      <c r="AC218" s="5" t="s">
        <v>181</v>
      </c>
      <c r="AD218" s="5" t="s">
        <v>181</v>
      </c>
      <c r="AE218" s="6">
        <v>78525560</v>
      </c>
      <c r="AG218" t="b">
        <f t="shared" si="5"/>
        <v>1</v>
      </c>
    </row>
    <row r="219" spans="25:33" x14ac:dyDescent="0.3">
      <c r="Y219" s="5" t="s">
        <v>182</v>
      </c>
      <c r="Z219" s="6">
        <v>41069820</v>
      </c>
      <c r="AB219" s="5" t="s">
        <v>182</v>
      </c>
      <c r="AC219" s="5" t="s">
        <v>182</v>
      </c>
      <c r="AD219" s="5" t="s">
        <v>182</v>
      </c>
      <c r="AE219" s="6">
        <v>41069820</v>
      </c>
      <c r="AG219" t="b">
        <f t="shared" si="5"/>
        <v>1</v>
      </c>
    </row>
    <row r="220" spans="25:33" x14ac:dyDescent="0.3">
      <c r="Y220" s="5" t="s">
        <v>183</v>
      </c>
      <c r="Z220" s="6">
        <v>431087718</v>
      </c>
      <c r="AB220" s="5" t="s">
        <v>183</v>
      </c>
      <c r="AC220" s="5" t="s">
        <v>183</v>
      </c>
      <c r="AD220" s="5" t="s">
        <v>183</v>
      </c>
      <c r="AE220" s="6">
        <v>431087718</v>
      </c>
      <c r="AG220" t="b">
        <f t="shared" si="5"/>
        <v>1</v>
      </c>
    </row>
    <row r="221" spans="25:33" x14ac:dyDescent="0.3">
      <c r="Y221" s="5" t="s">
        <v>194</v>
      </c>
      <c r="Z221" s="6">
        <v>62465610</v>
      </c>
      <c r="AB221" s="5" t="s">
        <v>194</v>
      </c>
      <c r="AC221" s="5" t="s">
        <v>194</v>
      </c>
      <c r="AD221" s="5" t="s">
        <v>194</v>
      </c>
      <c r="AE221" s="6">
        <v>62465610</v>
      </c>
      <c r="AG221" t="b">
        <f t="shared" si="5"/>
        <v>1</v>
      </c>
    </row>
    <row r="222" spans="25:33" x14ac:dyDescent="0.3">
      <c r="Y222" s="5" t="s">
        <v>184</v>
      </c>
      <c r="Z222" s="6">
        <v>10365070</v>
      </c>
      <c r="AB222" s="5" t="s">
        <v>184</v>
      </c>
      <c r="AC222" s="5" t="s">
        <v>184</v>
      </c>
      <c r="AD222" s="5" t="s">
        <v>184</v>
      </c>
      <c r="AE222" s="6">
        <v>10365070</v>
      </c>
      <c r="AG222" t="b">
        <f t="shared" si="5"/>
        <v>1</v>
      </c>
    </row>
    <row r="223" spans="25:33" x14ac:dyDescent="0.3">
      <c r="Y223" s="5" t="s">
        <v>261</v>
      </c>
      <c r="Z223" s="6">
        <v>23372490</v>
      </c>
      <c r="AB223" s="5" t="s">
        <v>261</v>
      </c>
      <c r="AC223" s="5" t="s">
        <v>261</v>
      </c>
      <c r="AD223" s="5" t="s">
        <v>261</v>
      </c>
      <c r="AE223" s="6">
        <v>23372490</v>
      </c>
      <c r="AG223" t="b">
        <f t="shared" si="5"/>
        <v>1</v>
      </c>
    </row>
    <row r="224" spans="25:33" x14ac:dyDescent="0.3">
      <c r="Y224" s="5" t="s">
        <v>262</v>
      </c>
      <c r="Z224" s="6">
        <v>10744460</v>
      </c>
      <c r="AB224" s="5" t="s">
        <v>262</v>
      </c>
      <c r="AC224" s="5" t="s">
        <v>262</v>
      </c>
      <c r="AD224" s="5" t="s">
        <v>262</v>
      </c>
      <c r="AE224" s="6">
        <v>10744460</v>
      </c>
      <c r="AG224" t="b">
        <f t="shared" si="5"/>
        <v>1</v>
      </c>
    </row>
    <row r="225" spans="25:34" x14ac:dyDescent="0.3">
      <c r="Y225" s="5" t="s">
        <v>263</v>
      </c>
      <c r="Z225" s="6">
        <v>10795090</v>
      </c>
      <c r="AB225" s="5" t="s">
        <v>263</v>
      </c>
      <c r="AC225" s="5" t="s">
        <v>263</v>
      </c>
      <c r="AD225" s="5" t="s">
        <v>263</v>
      </c>
      <c r="AE225" s="6">
        <v>10795090</v>
      </c>
      <c r="AG225" t="b">
        <f t="shared" si="5"/>
        <v>1</v>
      </c>
    </row>
    <row r="226" spans="25:34" x14ac:dyDescent="0.3">
      <c r="Y226" s="5" t="s">
        <v>264</v>
      </c>
      <c r="Z226" s="6">
        <v>336138650</v>
      </c>
      <c r="AB226" s="5" t="s">
        <v>264</v>
      </c>
      <c r="AC226" s="5" t="s">
        <v>264</v>
      </c>
      <c r="AD226" s="5" t="s">
        <v>264</v>
      </c>
      <c r="AE226" s="6">
        <v>336138650</v>
      </c>
      <c r="AG226" t="b">
        <f t="shared" si="5"/>
        <v>1</v>
      </c>
    </row>
    <row r="227" spans="25:34" x14ac:dyDescent="0.3">
      <c r="Y227" s="5" t="s">
        <v>185</v>
      </c>
      <c r="Z227" s="6">
        <v>1713936930</v>
      </c>
      <c r="AB227" s="5" t="s">
        <v>185</v>
      </c>
      <c r="AC227" s="5" t="s">
        <v>185</v>
      </c>
      <c r="AD227" s="5" t="s">
        <v>185</v>
      </c>
      <c r="AE227" s="6">
        <v>1713936930</v>
      </c>
      <c r="AG227" t="b">
        <f t="shared" si="5"/>
        <v>1</v>
      </c>
    </row>
    <row r="228" spans="25:34" x14ac:dyDescent="0.3">
      <c r="Y228" s="5" t="s">
        <v>265</v>
      </c>
      <c r="Z228" s="6">
        <v>271851160</v>
      </c>
      <c r="AB228" s="5" t="s">
        <v>265</v>
      </c>
      <c r="AC228" s="5" t="s">
        <v>265</v>
      </c>
      <c r="AD228" s="5" t="s">
        <v>265</v>
      </c>
      <c r="AE228" s="6">
        <v>271851160</v>
      </c>
      <c r="AG228" t="b">
        <f t="shared" si="5"/>
        <v>1</v>
      </c>
    </row>
    <row r="229" spans="25:34" x14ac:dyDescent="0.3">
      <c r="Y229" s="5" t="s">
        <v>186</v>
      </c>
      <c r="Z229" s="6">
        <v>1702130</v>
      </c>
      <c r="AB229" s="5" t="s">
        <v>186</v>
      </c>
      <c r="AC229" s="5" t="s">
        <v>186</v>
      </c>
      <c r="AD229" s="5" t="s">
        <v>186</v>
      </c>
      <c r="AE229" s="6">
        <v>1702130</v>
      </c>
      <c r="AG229" t="b">
        <f t="shared" si="5"/>
        <v>1</v>
      </c>
    </row>
    <row r="230" spans="25:34" x14ac:dyDescent="0.3">
      <c r="Y230" s="5" t="s">
        <v>187</v>
      </c>
      <c r="Z230" s="6">
        <v>18875950</v>
      </c>
      <c r="AB230" s="5" t="s">
        <v>187</v>
      </c>
      <c r="AC230" s="5" t="s">
        <v>187</v>
      </c>
      <c r="AD230" s="5" t="s">
        <v>187</v>
      </c>
      <c r="AE230" s="6">
        <v>18875950</v>
      </c>
      <c r="AG230" t="b">
        <f t="shared" si="5"/>
        <v>1</v>
      </c>
    </row>
    <row r="231" spans="25:34" x14ac:dyDescent="0.3">
      <c r="Y231" s="5" t="s">
        <v>188</v>
      </c>
      <c r="Z231" s="6">
        <v>22762500</v>
      </c>
      <c r="AB231" s="5" t="s">
        <v>188</v>
      </c>
      <c r="AC231" s="5" t="s">
        <v>188</v>
      </c>
      <c r="AD231" s="5" t="s">
        <v>188</v>
      </c>
      <c r="AE231" s="6">
        <v>22762500</v>
      </c>
      <c r="AG231" t="b">
        <f t="shared" si="5"/>
        <v>1</v>
      </c>
    </row>
    <row r="232" spans="25:34" x14ac:dyDescent="0.3">
      <c r="Y232" s="5" t="s">
        <v>189</v>
      </c>
      <c r="Z232" s="6">
        <v>85228680</v>
      </c>
      <c r="AB232" s="5" t="s">
        <v>189</v>
      </c>
      <c r="AC232" s="5" t="s">
        <v>189</v>
      </c>
      <c r="AD232" s="5" t="s">
        <v>189</v>
      </c>
      <c r="AE232" s="6">
        <v>85228680</v>
      </c>
      <c r="AG232" t="b">
        <f t="shared" si="5"/>
        <v>1</v>
      </c>
    </row>
    <row r="233" spans="25:34" s="9" customFormat="1" x14ac:dyDescent="0.3">
      <c r="Y233" s="5" t="s">
        <v>190</v>
      </c>
      <c r="Z233" s="6">
        <v>426408784</v>
      </c>
      <c r="AB233" s="7" t="s">
        <v>190</v>
      </c>
      <c r="AC233" s="7" t="s">
        <v>190</v>
      </c>
      <c r="AD233" s="7" t="s">
        <v>190</v>
      </c>
      <c r="AE233" s="8">
        <v>426408784</v>
      </c>
      <c r="AG233" t="b">
        <f t="shared" si="5"/>
        <v>1</v>
      </c>
      <c r="AH233" s="14">
        <f>AE233-Z233</f>
        <v>0</v>
      </c>
    </row>
    <row r="234" spans="25:34" x14ac:dyDescent="0.3">
      <c r="Y234" s="5" t="s">
        <v>195</v>
      </c>
      <c r="Z234" s="6">
        <v>270285550</v>
      </c>
      <c r="AB234" s="5" t="s">
        <v>195</v>
      </c>
      <c r="AC234" s="5" t="s">
        <v>195</v>
      </c>
      <c r="AD234" s="5" t="s">
        <v>195</v>
      </c>
      <c r="AE234" s="6">
        <v>270285550</v>
      </c>
      <c r="AG234" t="b">
        <f t="shared" si="5"/>
        <v>1</v>
      </c>
    </row>
    <row r="235" spans="25:34" x14ac:dyDescent="0.3">
      <c r="Y235" s="5" t="s">
        <v>196</v>
      </c>
      <c r="Z235" s="6">
        <v>41002420</v>
      </c>
      <c r="AB235" s="5" t="s">
        <v>196</v>
      </c>
      <c r="AC235" s="5" t="s">
        <v>196</v>
      </c>
      <c r="AD235" s="5" t="s">
        <v>196</v>
      </c>
      <c r="AE235" s="6">
        <v>41002420</v>
      </c>
      <c r="AG235" t="b">
        <f t="shared" si="5"/>
        <v>1</v>
      </c>
    </row>
    <row r="236" spans="25:34" x14ac:dyDescent="0.3">
      <c r="Y236" s="5" t="s">
        <v>197</v>
      </c>
      <c r="Z236" s="6">
        <v>77413190</v>
      </c>
      <c r="AB236" s="5" t="s">
        <v>197</v>
      </c>
      <c r="AC236" s="5" t="s">
        <v>197</v>
      </c>
      <c r="AD236" s="5" t="s">
        <v>197</v>
      </c>
      <c r="AE236" s="6">
        <v>77413190</v>
      </c>
      <c r="AG236" t="b">
        <f t="shared" si="5"/>
        <v>1</v>
      </c>
    </row>
    <row r="237" spans="25:34" x14ac:dyDescent="0.3">
      <c r="Y237" s="5" t="s">
        <v>198</v>
      </c>
      <c r="Z237" s="6">
        <v>76620580</v>
      </c>
      <c r="AB237" s="5" t="s">
        <v>198</v>
      </c>
      <c r="AC237" s="5" t="s">
        <v>198</v>
      </c>
      <c r="AD237" s="5" t="s">
        <v>198</v>
      </c>
      <c r="AE237" s="6">
        <v>76620580</v>
      </c>
      <c r="AG237" t="b">
        <f t="shared" si="5"/>
        <v>1</v>
      </c>
    </row>
    <row r="238" spans="25:34" x14ac:dyDescent="0.3">
      <c r="Y238" s="5" t="s">
        <v>199</v>
      </c>
      <c r="Z238" s="6">
        <v>64207350</v>
      </c>
      <c r="AB238" s="5" t="s">
        <v>199</v>
      </c>
      <c r="AC238" s="5" t="s">
        <v>199</v>
      </c>
      <c r="AD238" s="5" t="s">
        <v>199</v>
      </c>
      <c r="AE238" s="6">
        <v>64207350</v>
      </c>
      <c r="AG238" t="b">
        <f t="shared" si="5"/>
        <v>1</v>
      </c>
    </row>
    <row r="239" spans="25:34" x14ac:dyDescent="0.3">
      <c r="Y239" s="5" t="s">
        <v>200</v>
      </c>
      <c r="Z239" s="6">
        <v>10797510</v>
      </c>
      <c r="AB239" s="5" t="s">
        <v>200</v>
      </c>
      <c r="AC239" s="5" t="s">
        <v>200</v>
      </c>
      <c r="AD239" s="5" t="s">
        <v>200</v>
      </c>
      <c r="AE239" s="6">
        <v>10797510</v>
      </c>
      <c r="AG239" t="b">
        <f t="shared" si="5"/>
        <v>1</v>
      </c>
    </row>
    <row r="240" spans="25:34" x14ac:dyDescent="0.3">
      <c r="AH240" s="4">
        <f>SUBTOTAL(9,AH53:AH233)</f>
        <v>279514470</v>
      </c>
    </row>
  </sheetData>
  <autoFilter ref="AG47:AI239" xr:uid="{00000000-0001-0000-0000-000000000000}"/>
  <phoneticPr fontId="3" type="noConversion"/>
  <pageMargins left="0.7" right="0.7" top="0.75" bottom="0.75" header="0.3" footer="0.3"/>
  <pageSetup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2025-11-25T09:12:58Z</dcterms:created>
  <dcterms:modified xsi:type="dcterms:W3CDTF">2025-11-26T04:27:57Z</dcterms:modified>
</cp:coreProperties>
</file>