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13_ncr:1_{BF7FA00E-4E9A-4588-9256-EA2E00BD7A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8" i="1" l="1"/>
  <c r="L24" i="1"/>
  <c r="K9" i="1"/>
  <c r="O7" i="1"/>
</calcChain>
</file>

<file path=xl/sharedStrings.xml><?xml version="1.0" encoding="utf-8"?>
<sst xmlns="http://schemas.openxmlformats.org/spreadsheetml/2006/main" count="285" uniqueCount="90">
  <si>
    <t>KEORAEIL</t>
  </si>
  <si>
    <t>SUNAPIL</t>
  </si>
  <si>
    <t>GUNGU_CODE</t>
  </si>
  <si>
    <t>HOIGYE_YEAR</t>
  </si>
  <si>
    <t>YEAR_GUBUN</t>
  </si>
  <si>
    <t>BANK_GUBUN</t>
  </si>
  <si>
    <t>JOJEONG_GUBUN</t>
  </si>
  <si>
    <t>IPJI_GUBUN</t>
  </si>
  <si>
    <t>JIBGYE_CODE</t>
  </si>
  <si>
    <t>GYOYUKSE_AMT</t>
  </si>
  <si>
    <t>NONGTEUKSE_AMT</t>
  </si>
  <si>
    <t>JIBANGSE_CNT</t>
  </si>
  <si>
    <t>JIBANGSE_AMT</t>
  </si>
  <si>
    <t>SEWOI_CNT</t>
  </si>
  <si>
    <t>SEWOI_AMT</t>
  </si>
  <si>
    <t>SUNAP_CNT</t>
  </si>
  <si>
    <t>SUNAP_AMT</t>
  </si>
  <si>
    <t>JUSEOK</t>
  </si>
  <si>
    <t>SEIP_GYEJWANO</t>
  </si>
  <si>
    <t>SEQ_NO</t>
  </si>
  <si>
    <t>GEUMGO_CODE</t>
  </si>
  <si>
    <t>20250122</t>
  </si>
  <si>
    <t>20250102</t>
  </si>
  <si>
    <t>0</t>
  </si>
  <si>
    <t>2025</t>
  </si>
  <si>
    <t>1</t>
  </si>
  <si>
    <t>26</t>
  </si>
  <si>
    <t>103000</t>
  </si>
  <si>
    <t>2024년회계 가이월/회계담당관34232</t>
  </si>
  <si>
    <t>28</t>
  </si>
  <si>
    <t>20250109</t>
  </si>
  <si>
    <t>2024년회계 가이월/회계담당관737</t>
  </si>
  <si>
    <t>4</t>
  </si>
  <si>
    <t>20250110</t>
  </si>
  <si>
    <t>2024년회계 가이월/회계담당관1030</t>
  </si>
  <si>
    <t>2</t>
  </si>
  <si>
    <t>20250116</t>
  </si>
  <si>
    <t>2024년회계 가이월/회계담당관1553</t>
  </si>
  <si>
    <t>3</t>
  </si>
  <si>
    <t>2024년회계 최종이월/회계담당관2065</t>
  </si>
  <si>
    <t>5</t>
  </si>
  <si>
    <t>일반회계</t>
    <phoneticPr fontId="3" type="noConversion"/>
  </si>
  <si>
    <t>순번</t>
  </si>
  <si>
    <t>거래일</t>
  </si>
  <si>
    <t>기준일</t>
  </si>
  <si>
    <t>기산일</t>
  </si>
  <si>
    <t>계좌번호</t>
  </si>
  <si>
    <t>구청</t>
  </si>
  <si>
    <t>적요</t>
  </si>
  <si>
    <t>정정취소구분</t>
  </si>
  <si>
    <t>입지구분</t>
  </si>
  <si>
    <t>거래구분</t>
  </si>
  <si>
    <t>한도여부</t>
  </si>
  <si>
    <t>지급액</t>
  </si>
  <si>
    <t>입금액</t>
  </si>
  <si>
    <t>잔액</t>
  </si>
  <si>
    <t>한도잔액</t>
  </si>
  <si>
    <t>연결세출계좌번호</t>
  </si>
  <si>
    <t>지급명령번호</t>
  </si>
  <si>
    <t>거래점</t>
  </si>
  <si>
    <t>2025-01-02</t>
  </si>
  <si>
    <t>028-000-01-10-00000-24 (본청(일반회계))</t>
  </si>
  <si>
    <t>본청</t>
  </si>
  <si>
    <t>가이월/회계-34232</t>
  </si>
  <si>
    <t>지급</t>
  </si>
  <si>
    <t>62-4 가이월지급</t>
  </si>
  <si>
    <t>N</t>
  </si>
  <si>
    <t>7127</t>
  </si>
  <si>
    <t>2025-01-08</t>
  </si>
  <si>
    <t>회계담당관-737/2025회계가이월</t>
  </si>
  <si>
    <t>원거래정정</t>
  </si>
  <si>
    <t>2025-01-09</t>
  </si>
  <si>
    <t>정정</t>
  </si>
  <si>
    <t>회계담당관-737/가이월</t>
  </si>
  <si>
    <t>6</t>
  </si>
  <si>
    <t>7</t>
  </si>
  <si>
    <t>2025-01-10</t>
  </si>
  <si>
    <t>회계담당관-1030/가이월</t>
  </si>
  <si>
    <t>8</t>
  </si>
  <si>
    <t>2025-01-16</t>
  </si>
  <si>
    <t>회계담당관-1553/가이월</t>
  </si>
  <si>
    <t>2025-01-22</t>
  </si>
  <si>
    <t>회계담당관-2065/최종이월</t>
  </si>
  <si>
    <t>60 자금이월및기타지급거래</t>
  </si>
  <si>
    <t>02800001100000024</t>
    <phoneticPr fontId="3" type="noConversion"/>
  </si>
  <si>
    <t>028-000-01-10-00000-25 (본청(일반회계))</t>
  </si>
  <si>
    <t>입금</t>
  </si>
  <si>
    <t>10 이월입금</t>
  </si>
  <si>
    <t>12-4 가이월입금</t>
  </si>
  <si>
    <t>02800001100000025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</si>
</sst>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rgb="FF383D4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EDF2F5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2" fillId="4" borderId="1" xfId="0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49" fontId="0" fillId="0" borderId="0" xfId="0" applyNumberFormat="1">
      <alignment vertical="center"/>
    </xf>
    <xf numFmtId="176" fontId="0" fillId="5" borderId="0" xfId="0" applyNumberFormat="1" applyFill="1">
      <alignment vertical="center"/>
    </xf>
    <xf numFmtId="0" fontId="0" fillId="0" borderId="0" xfId="0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176" fontId="1" fillId="3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tabSelected="1" topLeftCell="A10" workbookViewId="0">
      <selection activeCell="F8" sqref="F8"/>
    </sheetView>
  </sheetViews>
  <sheetFormatPr defaultRowHeight="16.5" x14ac:dyDescent="0.3"/>
  <cols>
    <col min="1" max="1" width="32.375" customWidth="1"/>
    <col min="2" max="2" width="10.125" customWidth="1"/>
    <col min="3" max="3" width="14" customWidth="1"/>
    <col min="4" max="4" width="13.5" customWidth="1"/>
    <col min="5" max="5" width="13.625" customWidth="1"/>
    <col min="6" max="6" width="13.875" customWidth="1"/>
    <col min="7" max="7" width="17.125" customWidth="1"/>
    <col min="8" max="8" width="12.375" customWidth="1"/>
    <col min="9" max="9" width="13.625" customWidth="1"/>
    <col min="10" max="10" width="15.5" customWidth="1"/>
    <col min="11" max="11" width="18" customWidth="1"/>
    <col min="12" max="12" width="14.75" customWidth="1"/>
    <col min="13" max="13" width="14.875" customWidth="1"/>
    <col min="14" max="14" width="19.375" customWidth="1"/>
    <col min="15" max="15" width="22.875" customWidth="1"/>
    <col min="16" max="16" width="12.375" customWidth="1"/>
    <col min="17" max="17" width="12.5" customWidth="1"/>
    <col min="18" max="18" width="58.5" customWidth="1"/>
    <col min="19" max="19" width="16" customWidth="1"/>
    <col min="20" max="20" width="9.375" customWidth="1"/>
    <col min="21" max="21" width="15.1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5" customFormat="1" x14ac:dyDescent="0.3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25</v>
      </c>
      <c r="H2" s="3" t="s">
        <v>25</v>
      </c>
      <c r="I2" s="3" t="s">
        <v>27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50000000000</v>
      </c>
      <c r="P2" s="4">
        <v>0</v>
      </c>
      <c r="Q2" s="4">
        <v>0</v>
      </c>
      <c r="R2" s="3" t="s">
        <v>28</v>
      </c>
      <c r="S2" s="3"/>
      <c r="T2" s="3" t="s">
        <v>25</v>
      </c>
      <c r="U2" s="3" t="s">
        <v>29</v>
      </c>
    </row>
    <row r="3" spans="1:21" s="5" customFormat="1" x14ac:dyDescent="0.3">
      <c r="A3" s="3" t="s">
        <v>21</v>
      </c>
      <c r="B3" s="3" t="s">
        <v>30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25</v>
      </c>
      <c r="H3" s="3" t="s">
        <v>25</v>
      </c>
      <c r="I3" s="3" t="s">
        <v>27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100000000000</v>
      </c>
      <c r="P3" s="4">
        <v>0</v>
      </c>
      <c r="Q3" s="4">
        <v>0</v>
      </c>
      <c r="R3" s="3" t="s">
        <v>31</v>
      </c>
      <c r="S3" s="3"/>
      <c r="T3" s="3" t="s">
        <v>32</v>
      </c>
      <c r="U3" s="3" t="s">
        <v>29</v>
      </c>
    </row>
    <row r="4" spans="1:21" s="5" customFormat="1" x14ac:dyDescent="0.3">
      <c r="A4" s="3" t="s">
        <v>21</v>
      </c>
      <c r="B4" s="3" t="s">
        <v>33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25</v>
      </c>
      <c r="H4" s="3" t="s">
        <v>25</v>
      </c>
      <c r="I4" s="3" t="s">
        <v>27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150000000000</v>
      </c>
      <c r="P4" s="4">
        <v>0</v>
      </c>
      <c r="Q4" s="4">
        <v>0</v>
      </c>
      <c r="R4" s="3" t="s">
        <v>34</v>
      </c>
      <c r="S4" s="3"/>
      <c r="T4" s="3" t="s">
        <v>35</v>
      </c>
      <c r="U4" s="3" t="s">
        <v>29</v>
      </c>
    </row>
    <row r="5" spans="1:21" s="5" customFormat="1" x14ac:dyDescent="0.3">
      <c r="A5" s="3" t="s">
        <v>21</v>
      </c>
      <c r="B5" s="3" t="s">
        <v>36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25</v>
      </c>
      <c r="H5" s="3" t="s">
        <v>25</v>
      </c>
      <c r="I5" s="3" t="s">
        <v>27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100000000000</v>
      </c>
      <c r="P5" s="4">
        <v>0</v>
      </c>
      <c r="Q5" s="4">
        <v>0</v>
      </c>
      <c r="R5" s="3" t="s">
        <v>37</v>
      </c>
      <c r="S5" s="3"/>
      <c r="T5" s="3" t="s">
        <v>38</v>
      </c>
      <c r="U5" s="3" t="s">
        <v>29</v>
      </c>
    </row>
    <row r="6" spans="1:21" s="5" customFormat="1" x14ac:dyDescent="0.3">
      <c r="A6" s="3" t="s">
        <v>21</v>
      </c>
      <c r="B6" s="3" t="s">
        <v>21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25</v>
      </c>
      <c r="H6" s="3" t="s">
        <v>25</v>
      </c>
      <c r="I6" s="3" t="s">
        <v>27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21546163530</v>
      </c>
      <c r="P6" s="4">
        <v>0</v>
      </c>
      <c r="Q6" s="4">
        <v>0</v>
      </c>
      <c r="R6" s="3" t="s">
        <v>39</v>
      </c>
      <c r="S6" s="3"/>
      <c r="T6" s="3" t="s">
        <v>40</v>
      </c>
      <c r="U6" s="3" t="s">
        <v>29</v>
      </c>
    </row>
    <row r="7" spans="1:21" x14ac:dyDescent="0.3">
      <c r="M7" s="2"/>
      <c r="O7" s="2">
        <f>SUM(O2:O6)</f>
        <v>421546163530</v>
      </c>
    </row>
    <row r="9" spans="1:21" x14ac:dyDescent="0.3">
      <c r="I9" s="6">
        <v>103000</v>
      </c>
      <c r="J9" s="6" t="s">
        <v>41</v>
      </c>
      <c r="K9" s="13">
        <f>SUM(O2:O6)</f>
        <v>421546163530</v>
      </c>
    </row>
    <row r="11" spans="1:21" x14ac:dyDescent="0.3">
      <c r="A11" s="12" t="s">
        <v>84</v>
      </c>
    </row>
    <row r="12" spans="1:21" ht="27" x14ac:dyDescent="0.3">
      <c r="A12" s="7" t="s">
        <v>42</v>
      </c>
      <c r="B12" s="7" t="s">
        <v>43</v>
      </c>
      <c r="C12" s="7" t="s">
        <v>44</v>
      </c>
      <c r="D12" s="7" t="s">
        <v>45</v>
      </c>
      <c r="E12" s="7" t="s">
        <v>46</v>
      </c>
      <c r="F12" s="7" t="s">
        <v>47</v>
      </c>
      <c r="G12" s="7" t="s">
        <v>48</v>
      </c>
      <c r="H12" s="7" t="s">
        <v>49</v>
      </c>
      <c r="I12" s="7" t="s">
        <v>50</v>
      </c>
      <c r="J12" s="7" t="s">
        <v>51</v>
      </c>
      <c r="K12" s="7" t="s">
        <v>52</v>
      </c>
      <c r="L12" s="7" t="s">
        <v>53</v>
      </c>
      <c r="M12" s="7" t="s">
        <v>54</v>
      </c>
      <c r="N12" s="7" t="s">
        <v>55</v>
      </c>
      <c r="O12" s="7" t="s">
        <v>56</v>
      </c>
      <c r="P12" s="7" t="s">
        <v>57</v>
      </c>
      <c r="Q12" s="8" t="s">
        <v>58</v>
      </c>
      <c r="R12" s="8" t="s">
        <v>58</v>
      </c>
      <c r="S12" s="7" t="s">
        <v>59</v>
      </c>
    </row>
    <row r="13" spans="1:21" x14ac:dyDescent="0.3">
      <c r="A13" s="10" t="s">
        <v>25</v>
      </c>
      <c r="B13" s="10" t="s">
        <v>60</v>
      </c>
      <c r="C13" s="10" t="s">
        <v>60</v>
      </c>
      <c r="D13" s="10" t="s">
        <v>60</v>
      </c>
      <c r="E13" s="11" t="s">
        <v>61</v>
      </c>
      <c r="F13" s="10" t="s">
        <v>62</v>
      </c>
      <c r="G13" s="11" t="s">
        <v>63</v>
      </c>
      <c r="H13" s="10"/>
      <c r="I13" s="10" t="s">
        <v>64</v>
      </c>
      <c r="J13" s="11" t="s">
        <v>65</v>
      </c>
      <c r="K13" s="10" t="s">
        <v>66</v>
      </c>
      <c r="L13" s="9">
        <v>50000000000</v>
      </c>
      <c r="M13" s="9">
        <v>0</v>
      </c>
      <c r="N13" s="9">
        <v>116746864939</v>
      </c>
      <c r="O13" s="9">
        <v>3366356599</v>
      </c>
      <c r="P13" s="10"/>
      <c r="Q13" s="10"/>
      <c r="R13" s="10"/>
      <c r="S13" s="10" t="s">
        <v>67</v>
      </c>
    </row>
    <row r="14" spans="1:21" x14ac:dyDescent="0.3">
      <c r="A14" s="10" t="s">
        <v>35</v>
      </c>
      <c r="B14" s="10" t="s">
        <v>68</v>
      </c>
      <c r="C14" s="10" t="s">
        <v>68</v>
      </c>
      <c r="D14" s="10" t="s">
        <v>68</v>
      </c>
      <c r="E14" s="11" t="s">
        <v>61</v>
      </c>
      <c r="F14" s="10" t="s">
        <v>62</v>
      </c>
      <c r="G14" s="11" t="s">
        <v>69</v>
      </c>
      <c r="H14" s="10" t="s">
        <v>70</v>
      </c>
      <c r="I14" s="10" t="s">
        <v>64</v>
      </c>
      <c r="J14" s="11" t="s">
        <v>65</v>
      </c>
      <c r="K14" s="10" t="s">
        <v>66</v>
      </c>
      <c r="L14" s="9">
        <v>50000000000</v>
      </c>
      <c r="M14" s="9">
        <v>0</v>
      </c>
      <c r="N14" s="9">
        <v>187266164724</v>
      </c>
      <c r="O14" s="9">
        <v>102846466</v>
      </c>
      <c r="P14" s="10"/>
      <c r="Q14" s="10"/>
      <c r="R14" s="10"/>
      <c r="S14" s="10" t="s">
        <v>67</v>
      </c>
    </row>
    <row r="15" spans="1:21" x14ac:dyDescent="0.3">
      <c r="A15" s="10" t="s">
        <v>38</v>
      </c>
      <c r="B15" s="10" t="s">
        <v>71</v>
      </c>
      <c r="C15" s="10" t="s">
        <v>68</v>
      </c>
      <c r="D15" s="10" t="s">
        <v>68</v>
      </c>
      <c r="E15" s="11" t="s">
        <v>61</v>
      </c>
      <c r="F15" s="10" t="s">
        <v>62</v>
      </c>
      <c r="G15" s="11" t="s">
        <v>69</v>
      </c>
      <c r="H15" s="10" t="s">
        <v>72</v>
      </c>
      <c r="I15" s="10" t="s">
        <v>64</v>
      </c>
      <c r="J15" s="11" t="s">
        <v>65</v>
      </c>
      <c r="K15" s="10" t="s">
        <v>66</v>
      </c>
      <c r="L15" s="9">
        <v>-50000000000</v>
      </c>
      <c r="M15" s="9">
        <v>0</v>
      </c>
      <c r="N15" s="9">
        <v>244320530437</v>
      </c>
      <c r="O15" s="9">
        <v>55601380</v>
      </c>
      <c r="P15" s="10"/>
      <c r="Q15" s="10"/>
      <c r="R15" s="10"/>
      <c r="S15" s="10" t="s">
        <v>67</v>
      </c>
    </row>
    <row r="16" spans="1:21" x14ac:dyDescent="0.3">
      <c r="A16" s="10" t="s">
        <v>32</v>
      </c>
      <c r="B16" s="10" t="s">
        <v>71</v>
      </c>
      <c r="C16" s="10" t="s">
        <v>71</v>
      </c>
      <c r="D16" s="10" t="s">
        <v>71</v>
      </c>
      <c r="E16" s="11" t="s">
        <v>61</v>
      </c>
      <c r="F16" s="10" t="s">
        <v>62</v>
      </c>
      <c r="G16" s="11" t="s">
        <v>73</v>
      </c>
      <c r="H16" s="10" t="s">
        <v>70</v>
      </c>
      <c r="I16" s="10" t="s">
        <v>64</v>
      </c>
      <c r="J16" s="11" t="s">
        <v>65</v>
      </c>
      <c r="K16" s="10" t="s">
        <v>66</v>
      </c>
      <c r="L16" s="9">
        <v>100000000000</v>
      </c>
      <c r="M16" s="9">
        <v>0</v>
      </c>
      <c r="N16" s="9">
        <v>144320530437</v>
      </c>
      <c r="O16" s="9">
        <v>55601380</v>
      </c>
      <c r="P16" s="10"/>
      <c r="Q16" s="10"/>
      <c r="R16" s="10"/>
      <c r="S16" s="10" t="s">
        <v>67</v>
      </c>
    </row>
    <row r="17" spans="1:20" x14ac:dyDescent="0.3">
      <c r="A17" s="10" t="s">
        <v>40</v>
      </c>
      <c r="B17" s="10" t="s">
        <v>71</v>
      </c>
      <c r="C17" s="10" t="s">
        <v>71</v>
      </c>
      <c r="D17" s="10" t="s">
        <v>71</v>
      </c>
      <c r="E17" s="11" t="s">
        <v>61</v>
      </c>
      <c r="F17" s="10" t="s">
        <v>62</v>
      </c>
      <c r="G17" s="11" t="s">
        <v>73</v>
      </c>
      <c r="H17" s="10" t="s">
        <v>72</v>
      </c>
      <c r="I17" s="10" t="s">
        <v>64</v>
      </c>
      <c r="J17" s="11" t="s">
        <v>65</v>
      </c>
      <c r="K17" s="10" t="s">
        <v>66</v>
      </c>
      <c r="L17" s="9">
        <v>-100000000000</v>
      </c>
      <c r="M17" s="9">
        <v>0</v>
      </c>
      <c r="N17" s="9">
        <v>244320530437</v>
      </c>
      <c r="O17" s="9">
        <v>55601380</v>
      </c>
      <c r="P17" s="10"/>
      <c r="Q17" s="10"/>
      <c r="R17" s="10"/>
      <c r="S17" s="10" t="s">
        <v>67</v>
      </c>
    </row>
    <row r="18" spans="1:20" x14ac:dyDescent="0.3">
      <c r="A18" s="10" t="s">
        <v>74</v>
      </c>
      <c r="B18" s="10" t="s">
        <v>71</v>
      </c>
      <c r="C18" s="10" t="s">
        <v>71</v>
      </c>
      <c r="D18" s="10" t="s">
        <v>68</v>
      </c>
      <c r="E18" s="11" t="s">
        <v>61</v>
      </c>
      <c r="F18" s="10" t="s">
        <v>62</v>
      </c>
      <c r="G18" s="11" t="s">
        <v>73</v>
      </c>
      <c r="H18" s="10"/>
      <c r="I18" s="10" t="s">
        <v>64</v>
      </c>
      <c r="J18" s="11" t="s">
        <v>65</v>
      </c>
      <c r="K18" s="10" t="s">
        <v>66</v>
      </c>
      <c r="L18" s="9">
        <v>100000000000</v>
      </c>
      <c r="M18" s="9">
        <v>0</v>
      </c>
      <c r="N18" s="9">
        <v>144320530437</v>
      </c>
      <c r="O18" s="9">
        <v>55601380</v>
      </c>
      <c r="P18" s="10"/>
      <c r="Q18" s="10"/>
      <c r="R18" s="10"/>
      <c r="S18" s="10" t="s">
        <v>67</v>
      </c>
    </row>
    <row r="19" spans="1:20" x14ac:dyDescent="0.3">
      <c r="A19" s="10" t="s">
        <v>75</v>
      </c>
      <c r="B19" s="10" t="s">
        <v>76</v>
      </c>
      <c r="C19" s="10" t="s">
        <v>76</v>
      </c>
      <c r="D19" s="10" t="s">
        <v>76</v>
      </c>
      <c r="E19" s="11" t="s">
        <v>61</v>
      </c>
      <c r="F19" s="10" t="s">
        <v>62</v>
      </c>
      <c r="G19" s="11" t="s">
        <v>77</v>
      </c>
      <c r="H19" s="10"/>
      <c r="I19" s="10" t="s">
        <v>64</v>
      </c>
      <c r="J19" s="11" t="s">
        <v>65</v>
      </c>
      <c r="K19" s="10" t="s">
        <v>66</v>
      </c>
      <c r="L19" s="9">
        <v>150000000000</v>
      </c>
      <c r="M19" s="9">
        <v>0</v>
      </c>
      <c r="N19" s="9">
        <v>79517727284</v>
      </c>
      <c r="O19" s="9">
        <v>105675400</v>
      </c>
      <c r="P19" s="10"/>
      <c r="Q19" s="10"/>
      <c r="R19" s="10"/>
      <c r="S19" s="10" t="s">
        <v>67</v>
      </c>
    </row>
    <row r="20" spans="1:20" x14ac:dyDescent="0.3">
      <c r="A20" s="10" t="s">
        <v>78</v>
      </c>
      <c r="B20" s="10" t="s">
        <v>79</v>
      </c>
      <c r="C20" s="10" t="s">
        <v>79</v>
      </c>
      <c r="D20" s="10" t="s">
        <v>79</v>
      </c>
      <c r="E20" s="11" t="s">
        <v>61</v>
      </c>
      <c r="F20" s="10" t="s">
        <v>62</v>
      </c>
      <c r="G20" s="11" t="s">
        <v>80</v>
      </c>
      <c r="H20" s="10"/>
      <c r="I20" s="10" t="s">
        <v>64</v>
      </c>
      <c r="J20" s="11" t="s">
        <v>65</v>
      </c>
      <c r="K20" s="10" t="s">
        <v>66</v>
      </c>
      <c r="L20" s="9">
        <v>100000000000</v>
      </c>
      <c r="M20" s="9">
        <v>0</v>
      </c>
      <c r="N20" s="9">
        <v>21718802180</v>
      </c>
      <c r="O20" s="9">
        <v>0</v>
      </c>
      <c r="P20" s="10"/>
      <c r="Q20" s="10"/>
      <c r="R20" s="10"/>
      <c r="S20" s="10" t="s">
        <v>67</v>
      </c>
    </row>
    <row r="23" spans="1:20" x14ac:dyDescent="0.3">
      <c r="A23" s="10" t="s">
        <v>25</v>
      </c>
      <c r="B23" s="10" t="s">
        <v>81</v>
      </c>
      <c r="C23" s="10" t="s">
        <v>81</v>
      </c>
      <c r="D23" s="10" t="s">
        <v>81</v>
      </c>
      <c r="E23" s="11" t="s">
        <v>61</v>
      </c>
      <c r="F23" s="10" t="s">
        <v>62</v>
      </c>
      <c r="G23" s="11" t="s">
        <v>82</v>
      </c>
      <c r="H23" s="10"/>
      <c r="I23" s="10" t="s">
        <v>64</v>
      </c>
      <c r="J23" s="11" t="s">
        <v>83</v>
      </c>
      <c r="K23" s="10" t="s">
        <v>66</v>
      </c>
      <c r="L23" s="9">
        <v>21546163530</v>
      </c>
      <c r="M23" s="9">
        <v>0</v>
      </c>
      <c r="N23" s="9">
        <v>0</v>
      </c>
      <c r="O23" s="9">
        <v>0</v>
      </c>
      <c r="P23" s="10"/>
      <c r="Q23" s="10"/>
      <c r="R23" s="10"/>
      <c r="S23" s="10" t="s">
        <v>67</v>
      </c>
    </row>
    <row r="24" spans="1:20" x14ac:dyDescent="0.3">
      <c r="L24" s="2">
        <f>SUM(L13:L20,L23)</f>
        <v>421546163530</v>
      </c>
    </row>
    <row r="27" spans="1:20" x14ac:dyDescent="0.3">
      <c r="A27" s="12" t="s">
        <v>89</v>
      </c>
    </row>
    <row r="29" spans="1:20" x14ac:dyDescent="0.3">
      <c r="A29" s="15" t="s">
        <v>25</v>
      </c>
      <c r="B29" s="15" t="s">
        <v>60</v>
      </c>
      <c r="C29" s="15" t="s">
        <v>60</v>
      </c>
      <c r="D29" s="15" t="s">
        <v>60</v>
      </c>
      <c r="E29" s="16" t="s">
        <v>85</v>
      </c>
      <c r="F29" s="15" t="s">
        <v>62</v>
      </c>
      <c r="G29" s="16" t="s">
        <v>63</v>
      </c>
      <c r="H29" s="15"/>
      <c r="I29" s="15" t="s">
        <v>86</v>
      </c>
      <c r="J29" s="16" t="s">
        <v>88</v>
      </c>
      <c r="K29" s="15" t="s">
        <v>66</v>
      </c>
      <c r="L29" s="17">
        <v>0</v>
      </c>
      <c r="M29" s="17">
        <v>50000000000</v>
      </c>
      <c r="N29" s="17">
        <v>50000000000</v>
      </c>
      <c r="O29" s="17">
        <v>0</v>
      </c>
      <c r="P29" s="15"/>
      <c r="Q29" s="15"/>
      <c r="R29" s="15"/>
      <c r="S29" s="15" t="s">
        <v>67</v>
      </c>
      <c r="T29" s="14"/>
    </row>
    <row r="30" spans="1:20" x14ac:dyDescent="0.3">
      <c r="A30" s="15" t="s">
        <v>35</v>
      </c>
      <c r="B30" s="15" t="s">
        <v>68</v>
      </c>
      <c r="C30" s="15" t="s">
        <v>68</v>
      </c>
      <c r="D30" s="15" t="s">
        <v>68</v>
      </c>
      <c r="E30" s="16" t="s">
        <v>85</v>
      </c>
      <c r="F30" s="15" t="s">
        <v>62</v>
      </c>
      <c r="G30" s="16" t="s">
        <v>73</v>
      </c>
      <c r="H30" s="15" t="s">
        <v>70</v>
      </c>
      <c r="I30" s="15" t="s">
        <v>86</v>
      </c>
      <c r="J30" s="16" t="s">
        <v>88</v>
      </c>
      <c r="K30" s="15" t="s">
        <v>66</v>
      </c>
      <c r="L30" s="17">
        <v>0</v>
      </c>
      <c r="M30" s="17">
        <v>50000000000</v>
      </c>
      <c r="N30" s="17">
        <v>73523267722</v>
      </c>
      <c r="O30" s="17">
        <v>19411725982</v>
      </c>
      <c r="P30" s="15"/>
      <c r="Q30" s="15"/>
      <c r="R30" s="15"/>
      <c r="S30" s="15" t="s">
        <v>67</v>
      </c>
      <c r="T30" s="14"/>
    </row>
    <row r="31" spans="1:20" x14ac:dyDescent="0.3">
      <c r="A31" s="15" t="s">
        <v>38</v>
      </c>
      <c r="B31" s="15" t="s">
        <v>71</v>
      </c>
      <c r="C31" s="15" t="s">
        <v>68</v>
      </c>
      <c r="D31" s="15" t="s">
        <v>68</v>
      </c>
      <c r="E31" s="16" t="s">
        <v>85</v>
      </c>
      <c r="F31" s="15" t="s">
        <v>62</v>
      </c>
      <c r="G31" s="16" t="s">
        <v>73</v>
      </c>
      <c r="H31" s="15" t="s">
        <v>72</v>
      </c>
      <c r="I31" s="15" t="s">
        <v>86</v>
      </c>
      <c r="J31" s="16" t="s">
        <v>88</v>
      </c>
      <c r="K31" s="15" t="s">
        <v>66</v>
      </c>
      <c r="L31" s="17">
        <v>0</v>
      </c>
      <c r="M31" s="17">
        <v>-50000000000</v>
      </c>
      <c r="N31" s="17">
        <v>4246786157</v>
      </c>
      <c r="O31" s="17">
        <v>39443199802</v>
      </c>
      <c r="P31" s="15"/>
      <c r="Q31" s="15"/>
      <c r="R31" s="15"/>
      <c r="S31" s="15" t="s">
        <v>67</v>
      </c>
      <c r="T31" s="14"/>
    </row>
    <row r="32" spans="1:20" x14ac:dyDescent="0.3">
      <c r="A32" s="15" t="s">
        <v>32</v>
      </c>
      <c r="B32" s="15" t="s">
        <v>71</v>
      </c>
      <c r="C32" s="15" t="s">
        <v>71</v>
      </c>
      <c r="D32" s="15" t="s">
        <v>68</v>
      </c>
      <c r="E32" s="16" t="s">
        <v>85</v>
      </c>
      <c r="F32" s="15" t="s">
        <v>62</v>
      </c>
      <c r="G32" s="16" t="s">
        <v>73</v>
      </c>
      <c r="H32" s="15"/>
      <c r="I32" s="15" t="s">
        <v>86</v>
      </c>
      <c r="J32" s="16" t="s">
        <v>88</v>
      </c>
      <c r="K32" s="15" t="s">
        <v>66</v>
      </c>
      <c r="L32" s="17">
        <v>0</v>
      </c>
      <c r="M32" s="17">
        <v>100000000000</v>
      </c>
      <c r="N32" s="17">
        <v>104246786157</v>
      </c>
      <c r="O32" s="17">
        <v>39443199802</v>
      </c>
      <c r="P32" s="15"/>
      <c r="Q32" s="15"/>
      <c r="R32" s="15"/>
      <c r="S32" s="15" t="s">
        <v>67</v>
      </c>
      <c r="T32" s="14"/>
    </row>
    <row r="33" spans="1:20" x14ac:dyDescent="0.3">
      <c r="A33" s="15" t="s">
        <v>40</v>
      </c>
      <c r="B33" s="15" t="s">
        <v>76</v>
      </c>
      <c r="C33" s="15" t="s">
        <v>76</v>
      </c>
      <c r="D33" s="15" t="s">
        <v>76</v>
      </c>
      <c r="E33" s="16" t="s">
        <v>85</v>
      </c>
      <c r="F33" s="15" t="s">
        <v>62</v>
      </c>
      <c r="G33" s="16" t="s">
        <v>77</v>
      </c>
      <c r="H33" s="15"/>
      <c r="I33" s="15" t="s">
        <v>86</v>
      </c>
      <c r="J33" s="16" t="s">
        <v>88</v>
      </c>
      <c r="K33" s="15" t="s">
        <v>66</v>
      </c>
      <c r="L33" s="17">
        <v>0</v>
      </c>
      <c r="M33" s="17">
        <v>150000000000</v>
      </c>
      <c r="N33" s="17">
        <v>184487025130</v>
      </c>
      <c r="O33" s="17">
        <v>19821902385</v>
      </c>
      <c r="P33" s="15"/>
      <c r="Q33" s="15"/>
      <c r="R33" s="15"/>
      <c r="S33" s="15" t="s">
        <v>67</v>
      </c>
      <c r="T33" s="14"/>
    </row>
    <row r="34" spans="1:20" x14ac:dyDescent="0.3">
      <c r="A34" s="15" t="s">
        <v>74</v>
      </c>
      <c r="B34" s="15" t="s">
        <v>79</v>
      </c>
      <c r="C34" s="15" t="s">
        <v>79</v>
      </c>
      <c r="D34" s="15" t="s">
        <v>79</v>
      </c>
      <c r="E34" s="16" t="s">
        <v>85</v>
      </c>
      <c r="F34" s="15" t="s">
        <v>62</v>
      </c>
      <c r="G34" s="16" t="s">
        <v>80</v>
      </c>
      <c r="H34" s="15"/>
      <c r="I34" s="15" t="s">
        <v>86</v>
      </c>
      <c r="J34" s="16" t="s">
        <v>88</v>
      </c>
      <c r="K34" s="15" t="s">
        <v>66</v>
      </c>
      <c r="L34" s="17">
        <v>0</v>
      </c>
      <c r="M34" s="17">
        <v>100000000000</v>
      </c>
      <c r="N34" s="17">
        <v>199598454642</v>
      </c>
      <c r="O34" s="17">
        <v>19885506535</v>
      </c>
      <c r="P34" s="15"/>
      <c r="Q34" s="15"/>
      <c r="R34" s="15"/>
      <c r="S34" s="15" t="s">
        <v>67</v>
      </c>
      <c r="T34" s="14"/>
    </row>
    <row r="37" spans="1:20" x14ac:dyDescent="0.3">
      <c r="A37" s="10" t="s">
        <v>25</v>
      </c>
      <c r="B37" s="10" t="s">
        <v>81</v>
      </c>
      <c r="C37" s="10" t="s">
        <v>81</v>
      </c>
      <c r="D37" s="10" t="s">
        <v>81</v>
      </c>
      <c r="E37" s="11" t="s">
        <v>85</v>
      </c>
      <c r="F37" s="10" t="s">
        <v>62</v>
      </c>
      <c r="G37" s="11" t="s">
        <v>82</v>
      </c>
      <c r="H37" s="10"/>
      <c r="I37" s="10" t="s">
        <v>86</v>
      </c>
      <c r="J37" s="11" t="s">
        <v>87</v>
      </c>
      <c r="K37" s="10" t="s">
        <v>66</v>
      </c>
      <c r="L37" s="9">
        <v>0</v>
      </c>
      <c r="M37" s="9">
        <v>21546163530</v>
      </c>
      <c r="N37" s="9">
        <v>110416128749</v>
      </c>
      <c r="O37" s="9">
        <v>19149535008</v>
      </c>
      <c r="P37" s="10"/>
      <c r="Q37" s="10"/>
      <c r="R37" s="10"/>
      <c r="S37" s="10" t="s">
        <v>67</v>
      </c>
    </row>
    <row r="38" spans="1:20" x14ac:dyDescent="0.3">
      <c r="M38" s="2">
        <f>SUM(M29:M34,M37)</f>
        <v>421546163530</v>
      </c>
    </row>
  </sheetData>
  <mergeCells count="1">
    <mergeCell ref="Q12:R1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민수 강</cp:lastModifiedBy>
  <dcterms:created xsi:type="dcterms:W3CDTF">2025-11-13T01:49:24Z</dcterms:created>
  <dcterms:modified xsi:type="dcterms:W3CDTF">2025-11-13T02:29:52Z</dcterms:modified>
</cp:coreProperties>
</file>