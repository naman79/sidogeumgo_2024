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F218C4C8-F651-4A99-8482-A238B6834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1" l="1"/>
  <c r="X9" i="1"/>
  <c r="X11" i="1"/>
  <c r="X13" i="1"/>
  <c r="X15" i="1"/>
  <c r="X16" i="1"/>
  <c r="X18" i="1"/>
  <c r="X19" i="1"/>
  <c r="X21" i="1"/>
  <c r="X23" i="1"/>
  <c r="X25" i="1"/>
  <c r="X27" i="1"/>
  <c r="X29" i="1"/>
  <c r="X31" i="1"/>
  <c r="X33" i="1"/>
  <c r="X35" i="1"/>
  <c r="X37" i="1"/>
  <c r="X39" i="1"/>
  <c r="X41" i="1"/>
  <c r="X5" i="1"/>
  <c r="Y7" i="1"/>
  <c r="Y9" i="1"/>
  <c r="Y11" i="1"/>
  <c r="Y13" i="1"/>
  <c r="Y15" i="1"/>
  <c r="Y16" i="1"/>
  <c r="Y18" i="1"/>
  <c r="Y19" i="1"/>
  <c r="Y21" i="1"/>
  <c r="Y23" i="1"/>
  <c r="Y25" i="1"/>
  <c r="Y27" i="1"/>
  <c r="Y29" i="1"/>
  <c r="Y31" i="1"/>
  <c r="Y33" i="1"/>
  <c r="Y35" i="1"/>
  <c r="Y37" i="1"/>
  <c r="Y39" i="1"/>
  <c r="Y41" i="1"/>
  <c r="Y5" i="1"/>
  <c r="Z5" i="1" l="1"/>
  <c r="Z35" i="1"/>
  <c r="Z27" i="1"/>
  <c r="Z19" i="1"/>
  <c r="Z13" i="1"/>
  <c r="Z41" i="1"/>
  <c r="Z33" i="1"/>
  <c r="Z25" i="1"/>
  <c r="Z18" i="1"/>
  <c r="Z11" i="1"/>
  <c r="Z39" i="1"/>
  <c r="Z31" i="1"/>
  <c r="Z23" i="1"/>
  <c r="Z16" i="1"/>
  <c r="Z9" i="1"/>
  <c r="Z37" i="1"/>
  <c r="Z29" i="1"/>
  <c r="Z21" i="1"/>
  <c r="Z15" i="1"/>
  <c r="Z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tc={5ED5277C-3C64-4701-BAFB-441486A715AF}</author>
    <author>tc={E7D96AF2-5869-452E-B55C-F78C9E0E543B}</author>
  </authors>
  <commentList>
    <comment ref="X5" authorId="0" shapeId="0" xr:uid="{5ED5277C-3C64-4701-BAFB-441486A715A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처음 이월한 금액부터 근거가 불명확</t>
      </text>
    </comment>
    <comment ref="X7" authorId="1" shapeId="0" xr:uid="{E7D96AF2-5869-452E-B55C-F78C9E0E543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전년도 말일금액 94,778,168,920 과 일치하지 않음</t>
      </text>
    </comment>
  </commentList>
</comments>
</file>

<file path=xl/sharedStrings.xml><?xml version="1.0" encoding="utf-8"?>
<sst xmlns="http://schemas.openxmlformats.org/spreadsheetml/2006/main" count="477" uniqueCount="124">
  <si>
    <t>KEORAEIL</t>
  </si>
  <si>
    <t>SUNAPIL</t>
  </si>
  <si>
    <t>GUNGU_CODE</t>
  </si>
  <si>
    <t>HOIGYE_YEAR</t>
  </si>
  <si>
    <t>YEAR_GUBUN</t>
  </si>
  <si>
    <t>BANK_GUBUN</t>
  </si>
  <si>
    <t>JOJEONG_GUBUN</t>
  </si>
  <si>
    <t>IPJI_GUBUN</t>
  </si>
  <si>
    <t>JIBGYE_CODE</t>
  </si>
  <si>
    <t>GYOYUKSE_AMT</t>
  </si>
  <si>
    <t>NONGTEUKSE_AMT</t>
  </si>
  <si>
    <t>JIBANGSE_CNT</t>
  </si>
  <si>
    <t>JIBANGSE_AMT</t>
  </si>
  <si>
    <t>SEWOI_CNT</t>
  </si>
  <si>
    <t>SEWOI_AMT</t>
  </si>
  <si>
    <t>SUNAP_CNT</t>
  </si>
  <si>
    <t>SUNAP_AMT</t>
  </si>
  <si>
    <t>JUSEOK</t>
  </si>
  <si>
    <t>SEIP_GYEJWANO</t>
  </si>
  <si>
    <t>SEQ_NO</t>
  </si>
  <si>
    <t>GEUMGO_CODE</t>
  </si>
  <si>
    <t>20080117</t>
  </si>
  <si>
    <t>20080102</t>
  </si>
  <si>
    <t>7100</t>
  </si>
  <si>
    <t>2008</t>
  </si>
  <si>
    <t>1</t>
  </si>
  <si>
    <t>26</t>
  </si>
  <si>
    <t>209330</t>
  </si>
  <si>
    <t>0</t>
  </si>
  <si>
    <t>전년도 이월금</t>
  </si>
  <si>
    <t>28</t>
  </si>
  <si>
    <t>20090114</t>
  </si>
  <si>
    <t>20090102</t>
  </si>
  <si>
    <t>2009</t>
  </si>
  <si>
    <t>2008년도이월액</t>
  </si>
  <si>
    <t>20100226</t>
  </si>
  <si>
    <t>20100104</t>
  </si>
  <si>
    <t>2010</t>
  </si>
  <si>
    <t>전년도이월금</t>
  </si>
  <si>
    <t>20110228</t>
  </si>
  <si>
    <t>20110103</t>
  </si>
  <si>
    <t>2011</t>
  </si>
  <si>
    <t>전년도이월액-끝전조정-2/28</t>
  </si>
  <si>
    <t>11</t>
  </si>
  <si>
    <t>20120203</t>
  </si>
  <si>
    <t>20120102</t>
  </si>
  <si>
    <t>2012</t>
  </si>
  <si>
    <t>전년도이월액-끝전조정-</t>
  </si>
  <si>
    <t>40</t>
  </si>
  <si>
    <t>20130228</t>
  </si>
  <si>
    <t>20130102</t>
  </si>
  <si>
    <t>2013</t>
  </si>
  <si>
    <t>전년도이월액 추가(자금운용부문)</t>
  </si>
  <si>
    <t>25</t>
  </si>
  <si>
    <t>20130226</t>
  </si>
  <si>
    <t>24</t>
  </si>
  <si>
    <t>20140228</t>
  </si>
  <si>
    <t>20140102</t>
  </si>
  <si>
    <t>2014</t>
  </si>
  <si>
    <t>4</t>
  </si>
  <si>
    <t>20140217</t>
  </si>
  <si>
    <t>5</t>
  </si>
  <si>
    <t>20150225</t>
  </si>
  <si>
    <t>20150102</t>
  </si>
  <si>
    <t>전년도이월액</t>
  </si>
  <si>
    <t>20160219</t>
  </si>
  <si>
    <t>20160104</t>
  </si>
  <si>
    <t>2015</t>
  </si>
  <si>
    <t>7</t>
  </si>
  <si>
    <t>20170125</t>
  </si>
  <si>
    <t>20170102</t>
  </si>
  <si>
    <t>2017</t>
  </si>
  <si>
    <t>자금이월요청(업무부-2127)</t>
  </si>
  <si>
    <t>94</t>
  </si>
  <si>
    <t>20180119</t>
  </si>
  <si>
    <t>20180102</t>
  </si>
  <si>
    <t>2018</t>
  </si>
  <si>
    <t>자금이월요청(상수도업무부-1301)</t>
  </si>
  <si>
    <t>71</t>
  </si>
  <si>
    <t>20200109</t>
  </si>
  <si>
    <t>20190102</t>
  </si>
  <si>
    <t>2019</t>
  </si>
  <si>
    <t>자금이월요청(상수도업무부-707)</t>
  </si>
  <si>
    <t>13</t>
  </si>
  <si>
    <t>20200131</t>
  </si>
  <si>
    <t>20200102</t>
  </si>
  <si>
    <t>2020</t>
  </si>
  <si>
    <t>2019년도이월액세입조치(업무부-2344)</t>
  </si>
  <si>
    <t>6</t>
  </si>
  <si>
    <t>20210210</t>
  </si>
  <si>
    <t>20210104</t>
  </si>
  <si>
    <t>2021</t>
  </si>
  <si>
    <t>2020년회계이월/경영관리부-2298</t>
  </si>
  <si>
    <t>20220225</t>
  </si>
  <si>
    <t>20220103</t>
  </si>
  <si>
    <t>2022</t>
  </si>
  <si>
    <t>2021년회계이월/경영관리부-4122</t>
  </si>
  <si>
    <t>20230206</t>
  </si>
  <si>
    <t>20230102</t>
  </si>
  <si>
    <t>2023</t>
  </si>
  <si>
    <t>2022년회계이월/경영관리부-2456</t>
  </si>
  <si>
    <t>47</t>
  </si>
  <si>
    <t>20240221</t>
  </si>
  <si>
    <t>20240102</t>
  </si>
  <si>
    <t>2023년&amp;gt;2024년회계이월/경영관리부-4284</t>
  </si>
  <si>
    <t>83</t>
  </si>
  <si>
    <t>20250314</t>
  </si>
  <si>
    <t>20250102</t>
  </si>
  <si>
    <t>2025</t>
  </si>
  <si>
    <t>경영관리부-5409/2025회계이월</t>
  </si>
  <si>
    <t>12</t>
  </si>
  <si>
    <t>GONGGEUM_GYEJWA</t>
  </si>
  <si>
    <t>JANAEK</t>
  </si>
  <si>
    <t>IPAMT</t>
  </si>
  <si>
    <t>JIAMT</t>
  </si>
  <si>
    <t>BFJAN</t>
  </si>
  <si>
    <t>02800021100000099</t>
  </si>
  <si>
    <t>KIJUNIL</t>
  </si>
  <si>
    <t>세입조정</t>
    <phoneticPr fontId="4" type="noConversion"/>
  </si>
  <si>
    <t>공금잔액</t>
    <phoneticPr fontId="4" type="noConversion"/>
  </si>
  <si>
    <t>운용잔액</t>
    <phoneticPr fontId="4" type="noConversion"/>
  </si>
  <si>
    <t>공금 + 운용</t>
    <phoneticPr fontId="4" type="noConversion"/>
  </si>
  <si>
    <t>차이</t>
    <phoneticPr fontId="4" type="noConversion"/>
  </si>
  <si>
    <t>날짜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</si>
</sst>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_ "/>
    <numFmt numFmtId="183" formatCode="#,##0_ ;[Red]\-#,##0\ "/>
  </numFmts>
  <fonts count="7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3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/>
    </xf>
    <xf numFmtId="178" fontId="1" fillId="4" borderId="1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5" fillId="5" borderId="2" xfId="0" applyNumberFormat="1" applyFont="1" applyFill="1" applyBorder="1" applyAlignment="1">
      <alignment horizontal="center" vertical="center"/>
    </xf>
    <xf numFmtId="183" fontId="0" fillId="0" borderId="2" xfId="0" applyNumberFormat="1" applyBorder="1">
      <alignment vertical="center"/>
    </xf>
    <xf numFmtId="183" fontId="0" fillId="6" borderId="2" xfId="0" applyNumberFormat="1" applyFill="1" applyBorder="1">
      <alignment vertical="center"/>
    </xf>
  </cellXfs>
  <cellStyles count="2">
    <cellStyle name="표준" xfId="0" builtinId="0"/>
    <cellStyle name="표준 2" xfId="1" xr:uid="{7AE5F7B1-D63F-4DA9-A920-4A1B7EEEA4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수 강" id="{49521E64-441E-4DF5-B584-02EED14B4743}" userId="13ac3b493164a5da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5" dT="2025-11-14T02:36:36.81" personId="{49521E64-441E-4DF5-B584-02EED14B4743}" id="{5ED5277C-3C64-4701-BAFB-441486A715AF}">
    <text>처음 이월한 금액부터 근거가 불명확</text>
  </threadedComment>
  <threadedComment ref="X7" dT="2025-11-14T02:40:30.00" personId="{49521E64-441E-4DF5-B584-02EED14B4743}" id="{E7D96AF2-5869-452E-B55C-F78C9E0E543B}">
    <text>전년도 말일금액 94,778,168,920 과 일치하지 않음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J41"/>
  <sheetViews>
    <sheetView tabSelected="1" topLeftCell="A33" workbookViewId="0">
      <selection activeCell="Z18" sqref="Z18"/>
    </sheetView>
  </sheetViews>
  <sheetFormatPr defaultRowHeight="16.5" x14ac:dyDescent="0.3"/>
  <cols>
    <col min="1" max="1" width="10.375" customWidth="1"/>
    <col min="2" max="2" width="10.125" customWidth="1"/>
    <col min="3" max="3" width="14" hidden="1" customWidth="1"/>
    <col min="4" max="4" width="13.5" hidden="1" customWidth="1"/>
    <col min="5" max="5" width="13.625" hidden="1" customWidth="1"/>
    <col min="6" max="6" width="13.875" hidden="1" customWidth="1"/>
    <col min="7" max="7" width="17.125" hidden="1" customWidth="1"/>
    <col min="8" max="8" width="12.375" hidden="1" customWidth="1"/>
    <col min="9" max="9" width="13.625" hidden="1" customWidth="1"/>
    <col min="10" max="10" width="15.5" hidden="1" customWidth="1"/>
    <col min="11" max="11" width="18" hidden="1" customWidth="1"/>
    <col min="12" max="12" width="14.75" hidden="1" customWidth="1"/>
    <col min="13" max="13" width="14.875" customWidth="1"/>
    <col min="14" max="14" width="12.125" hidden="1" customWidth="1"/>
    <col min="15" max="15" width="12.25" hidden="1" customWidth="1"/>
    <col min="16" max="16" width="12.375" hidden="1" customWidth="1"/>
    <col min="17" max="17" width="12.5" hidden="1" customWidth="1"/>
    <col min="18" max="18" width="35.125" customWidth="1"/>
    <col min="19" max="19" width="16" hidden="1" customWidth="1"/>
    <col min="20" max="20" width="9.375" hidden="1" customWidth="1"/>
    <col min="21" max="21" width="15.125" hidden="1" customWidth="1"/>
    <col min="23" max="23" width="14.75" style="9" bestFit="1" customWidth="1"/>
    <col min="24" max="24" width="15.875" style="9" bestFit="1" customWidth="1"/>
    <col min="25" max="25" width="15" style="9" customWidth="1"/>
    <col min="26" max="26" width="15.625" style="9" customWidth="1"/>
    <col min="28" max="28" width="13.875" customWidth="1"/>
    <col min="29" max="29" width="0" hidden="1" customWidth="1"/>
    <col min="30" max="30" width="14.625" customWidth="1"/>
    <col min="31" max="31" width="14.75" hidden="1" customWidth="1"/>
    <col min="32" max="32" width="17.875" hidden="1" customWidth="1"/>
    <col min="33" max="33" width="19.25" hidden="1" customWidth="1"/>
    <col min="36" max="36" width="14.125" bestFit="1" customWidth="1"/>
  </cols>
  <sheetData>
    <row r="3" spans="1:36" x14ac:dyDescent="0.3">
      <c r="A3" t="s">
        <v>118</v>
      </c>
      <c r="AB3" t="s">
        <v>119</v>
      </c>
      <c r="AI3" t="s">
        <v>120</v>
      </c>
    </row>
    <row r="4" spans="1:36" ht="27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W4" s="10" t="s">
        <v>123</v>
      </c>
      <c r="X4" s="10" t="s">
        <v>118</v>
      </c>
      <c r="Y4" s="10" t="s">
        <v>121</v>
      </c>
      <c r="Z4" s="10" t="s">
        <v>122</v>
      </c>
      <c r="AB4" s="1" t="s">
        <v>0</v>
      </c>
      <c r="AC4" s="1" t="s">
        <v>111</v>
      </c>
      <c r="AD4" s="1" t="s">
        <v>112</v>
      </c>
      <c r="AE4" s="1" t="s">
        <v>113</v>
      </c>
      <c r="AF4" s="1" t="s">
        <v>114</v>
      </c>
      <c r="AG4" s="1" t="s">
        <v>115</v>
      </c>
      <c r="AI4" s="6" t="s">
        <v>117</v>
      </c>
      <c r="AJ4" s="6" t="s">
        <v>112</v>
      </c>
    </row>
    <row r="5" spans="1:3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25</v>
      </c>
      <c r="H5" s="2" t="s">
        <v>25</v>
      </c>
      <c r="I5" s="2" t="s">
        <v>27</v>
      </c>
      <c r="J5" s="2" t="s">
        <v>28</v>
      </c>
      <c r="K5" s="2" t="s">
        <v>28</v>
      </c>
      <c r="L5" s="2" t="s">
        <v>28</v>
      </c>
      <c r="M5" s="3">
        <v>75377226330</v>
      </c>
      <c r="N5" s="2" t="s">
        <v>28</v>
      </c>
      <c r="O5" s="2" t="s">
        <v>28</v>
      </c>
      <c r="P5" s="2" t="s">
        <v>28</v>
      </c>
      <c r="Q5" s="2" t="s">
        <v>28</v>
      </c>
      <c r="R5" s="2" t="s">
        <v>29</v>
      </c>
      <c r="S5" s="2"/>
      <c r="T5" s="2" t="s">
        <v>28</v>
      </c>
      <c r="U5" s="2" t="s">
        <v>30</v>
      </c>
      <c r="W5" s="2" t="s">
        <v>22</v>
      </c>
      <c r="X5" s="12">
        <f>M5</f>
        <v>75377226330</v>
      </c>
      <c r="Y5" s="11">
        <f>AD5+AJ5</f>
        <v>64394249378</v>
      </c>
      <c r="Z5" s="11">
        <f>X5-Y5</f>
        <v>10982976952</v>
      </c>
      <c r="AB5" s="4" t="s">
        <v>22</v>
      </c>
      <c r="AC5" s="4" t="s">
        <v>116</v>
      </c>
      <c r="AD5" s="5">
        <v>5394249360</v>
      </c>
      <c r="AE5" s="5">
        <v>513633750</v>
      </c>
      <c r="AF5" s="5">
        <v>0</v>
      </c>
      <c r="AG5" s="5">
        <v>4880615610</v>
      </c>
      <c r="AI5" s="7" t="s">
        <v>22</v>
      </c>
      <c r="AJ5" s="8">
        <v>59000000018</v>
      </c>
    </row>
    <row r="6" spans="1:3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2"/>
      <c r="O6" s="2"/>
      <c r="P6" s="2"/>
      <c r="Q6" s="2"/>
      <c r="R6" s="2"/>
      <c r="S6" s="2"/>
      <c r="T6" s="2"/>
      <c r="U6" s="2"/>
      <c r="W6" s="2"/>
      <c r="X6" s="11"/>
      <c r="Y6" s="11"/>
      <c r="Z6" s="11"/>
      <c r="AB6" s="4"/>
      <c r="AC6" s="4"/>
      <c r="AD6" s="5"/>
      <c r="AE6" s="5"/>
      <c r="AF6" s="5"/>
      <c r="AG6" s="5"/>
      <c r="AI6" s="7"/>
      <c r="AJ6" s="8"/>
    </row>
    <row r="7" spans="1:36" x14ac:dyDescent="0.3">
      <c r="A7" s="2" t="s">
        <v>31</v>
      </c>
      <c r="B7" s="2" t="s">
        <v>32</v>
      </c>
      <c r="C7" s="2" t="s">
        <v>23</v>
      </c>
      <c r="D7" s="2" t="s">
        <v>33</v>
      </c>
      <c r="E7" s="2" t="s">
        <v>25</v>
      </c>
      <c r="F7" s="2" t="s">
        <v>26</v>
      </c>
      <c r="G7" s="2" t="s">
        <v>25</v>
      </c>
      <c r="H7" s="2" t="s">
        <v>25</v>
      </c>
      <c r="I7" s="2" t="s">
        <v>27</v>
      </c>
      <c r="J7" s="2" t="s">
        <v>28</v>
      </c>
      <c r="K7" s="2" t="s">
        <v>28</v>
      </c>
      <c r="L7" s="2" t="s">
        <v>28</v>
      </c>
      <c r="M7" s="3">
        <v>94783953920</v>
      </c>
      <c r="N7" s="2" t="s">
        <v>28</v>
      </c>
      <c r="O7" s="2" t="s">
        <v>28</v>
      </c>
      <c r="P7" s="2" t="s">
        <v>28</v>
      </c>
      <c r="Q7" s="2" t="s">
        <v>28</v>
      </c>
      <c r="R7" s="2" t="s">
        <v>34</v>
      </c>
      <c r="S7" s="2"/>
      <c r="T7" s="2" t="s">
        <v>25</v>
      </c>
      <c r="U7" s="2" t="s">
        <v>30</v>
      </c>
      <c r="W7" s="2" t="s">
        <v>32</v>
      </c>
      <c r="X7" s="12">
        <f t="shared" ref="X7:X41" si="0">M7</f>
        <v>94783953920</v>
      </c>
      <c r="Y7" s="11">
        <f t="shared" ref="Y7:Y41" si="1">AD7+AJ7</f>
        <v>85082902756</v>
      </c>
      <c r="Z7" s="11">
        <f t="shared" ref="Z7:Z41" si="2">X7-Y7</f>
        <v>9701051164</v>
      </c>
      <c r="AB7" s="4" t="s">
        <v>32</v>
      </c>
      <c r="AC7" s="4" t="s">
        <v>116</v>
      </c>
      <c r="AD7" s="5">
        <v>1082902730</v>
      </c>
      <c r="AE7" s="5">
        <v>420915690</v>
      </c>
      <c r="AF7" s="5">
        <v>0</v>
      </c>
      <c r="AG7" s="5">
        <v>661987040</v>
      </c>
      <c r="AI7" s="7" t="s">
        <v>32</v>
      </c>
      <c r="AJ7" s="8">
        <v>84000000026</v>
      </c>
    </row>
    <row r="8" spans="1:3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2"/>
      <c r="O8" s="2"/>
      <c r="P8" s="2"/>
      <c r="Q8" s="2"/>
      <c r="R8" s="2"/>
      <c r="S8" s="2"/>
      <c r="T8" s="2"/>
      <c r="U8" s="2"/>
      <c r="W8" s="2"/>
      <c r="X8" s="11"/>
      <c r="Y8" s="11"/>
      <c r="Z8" s="11"/>
      <c r="AB8" s="4"/>
      <c r="AC8" s="4"/>
      <c r="AD8" s="5"/>
      <c r="AE8" s="5"/>
      <c r="AF8" s="5"/>
      <c r="AG8" s="5"/>
      <c r="AI8" s="7"/>
      <c r="AJ8" s="8"/>
    </row>
    <row r="9" spans="1:36" x14ac:dyDescent="0.3">
      <c r="A9" s="2" t="s">
        <v>35</v>
      </c>
      <c r="B9" s="2" t="s">
        <v>36</v>
      </c>
      <c r="C9" s="2" t="s">
        <v>23</v>
      </c>
      <c r="D9" s="2" t="s">
        <v>37</v>
      </c>
      <c r="E9" s="2" t="s">
        <v>25</v>
      </c>
      <c r="F9" s="2" t="s">
        <v>26</v>
      </c>
      <c r="G9" s="2" t="s">
        <v>25</v>
      </c>
      <c r="H9" s="2" t="s">
        <v>25</v>
      </c>
      <c r="I9" s="2" t="s">
        <v>27</v>
      </c>
      <c r="J9" s="2" t="s">
        <v>28</v>
      </c>
      <c r="K9" s="2" t="s">
        <v>28</v>
      </c>
      <c r="L9" s="2" t="s">
        <v>28</v>
      </c>
      <c r="M9" s="3">
        <v>75366045270</v>
      </c>
      <c r="N9" s="2" t="s">
        <v>28</v>
      </c>
      <c r="O9" s="2" t="s">
        <v>28</v>
      </c>
      <c r="P9" s="2" t="s">
        <v>28</v>
      </c>
      <c r="Q9" s="2" t="s">
        <v>28</v>
      </c>
      <c r="R9" s="2" t="s">
        <v>38</v>
      </c>
      <c r="S9" s="2"/>
      <c r="T9" s="2" t="s">
        <v>25</v>
      </c>
      <c r="U9" s="2" t="s">
        <v>30</v>
      </c>
      <c r="W9" s="2" t="s">
        <v>36</v>
      </c>
      <c r="X9" s="11">
        <f t="shared" si="0"/>
        <v>75366045270</v>
      </c>
      <c r="Y9" s="11">
        <f t="shared" si="1"/>
        <v>66723918458</v>
      </c>
      <c r="Z9" s="11">
        <f t="shared" si="2"/>
        <v>8642126812</v>
      </c>
      <c r="AB9" s="4" t="s">
        <v>36</v>
      </c>
      <c r="AC9" s="4" t="s">
        <v>116</v>
      </c>
      <c r="AD9" s="5">
        <v>823918415</v>
      </c>
      <c r="AE9" s="5">
        <v>662436820</v>
      </c>
      <c r="AF9" s="5">
        <v>0</v>
      </c>
      <c r="AG9" s="5">
        <v>161481595</v>
      </c>
      <c r="AI9" s="7" t="s">
        <v>36</v>
      </c>
      <c r="AJ9" s="8">
        <v>65900000043</v>
      </c>
    </row>
    <row r="10" spans="1:3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2"/>
      <c r="O10" s="2"/>
      <c r="P10" s="2"/>
      <c r="Q10" s="2"/>
      <c r="R10" s="2"/>
      <c r="S10" s="2"/>
      <c r="T10" s="2"/>
      <c r="U10" s="2"/>
      <c r="W10" s="2"/>
      <c r="X10" s="11"/>
      <c r="Y10" s="11"/>
      <c r="Z10" s="11"/>
      <c r="AB10" s="4"/>
      <c r="AC10" s="4"/>
      <c r="AD10" s="5"/>
      <c r="AE10" s="5"/>
      <c r="AF10" s="5"/>
      <c r="AG10" s="5"/>
      <c r="AI10" s="7"/>
      <c r="AJ10" s="8"/>
    </row>
    <row r="11" spans="1:36" x14ac:dyDescent="0.3">
      <c r="A11" s="2" t="s">
        <v>39</v>
      </c>
      <c r="B11" s="2" t="s">
        <v>40</v>
      </c>
      <c r="C11" s="2" t="s">
        <v>23</v>
      </c>
      <c r="D11" s="2" t="s">
        <v>41</v>
      </c>
      <c r="E11" s="2" t="s">
        <v>25</v>
      </c>
      <c r="F11" s="2" t="s">
        <v>26</v>
      </c>
      <c r="G11" s="2" t="s">
        <v>25</v>
      </c>
      <c r="H11" s="2" t="s">
        <v>25</v>
      </c>
      <c r="I11" s="2" t="s">
        <v>27</v>
      </c>
      <c r="J11" s="2" t="s">
        <v>28</v>
      </c>
      <c r="K11" s="2" t="s">
        <v>28</v>
      </c>
      <c r="L11" s="2" t="s">
        <v>28</v>
      </c>
      <c r="M11" s="3">
        <v>46832912250</v>
      </c>
      <c r="N11" s="2" t="s">
        <v>28</v>
      </c>
      <c r="O11" s="2" t="s">
        <v>28</v>
      </c>
      <c r="P11" s="2" t="s">
        <v>28</v>
      </c>
      <c r="Q11" s="2" t="s">
        <v>28</v>
      </c>
      <c r="R11" s="2" t="s">
        <v>42</v>
      </c>
      <c r="S11" s="2"/>
      <c r="T11" s="2" t="s">
        <v>43</v>
      </c>
      <c r="U11" s="2" t="s">
        <v>30</v>
      </c>
      <c r="W11" s="2" t="s">
        <v>40</v>
      </c>
      <c r="X11" s="11">
        <f t="shared" si="0"/>
        <v>46832912250</v>
      </c>
      <c r="Y11" s="11">
        <f t="shared" si="1"/>
        <v>44463504306</v>
      </c>
      <c r="Z11" s="11">
        <f t="shared" si="2"/>
        <v>2369407944</v>
      </c>
      <c r="AB11" s="4" t="s">
        <v>40</v>
      </c>
      <c r="AC11" s="4" t="s">
        <v>116</v>
      </c>
      <c r="AD11" s="5">
        <v>12463504253</v>
      </c>
      <c r="AE11" s="5">
        <v>12359340620</v>
      </c>
      <c r="AF11" s="5">
        <v>0</v>
      </c>
      <c r="AG11" s="5">
        <v>104163633</v>
      </c>
      <c r="AI11" s="7" t="s">
        <v>40</v>
      </c>
      <c r="AJ11" s="8">
        <v>32000000053</v>
      </c>
    </row>
    <row r="12" spans="1:3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"/>
      <c r="O12" s="2"/>
      <c r="P12" s="2"/>
      <c r="Q12" s="2"/>
      <c r="R12" s="2"/>
      <c r="S12" s="2"/>
      <c r="T12" s="2"/>
      <c r="U12" s="2"/>
      <c r="W12" s="2"/>
      <c r="X12" s="11"/>
      <c r="Y12" s="11"/>
      <c r="Z12" s="11"/>
      <c r="AB12" s="4"/>
      <c r="AC12" s="4"/>
      <c r="AD12" s="5"/>
      <c r="AE12" s="5"/>
      <c r="AF12" s="5"/>
      <c r="AG12" s="5"/>
      <c r="AI12" s="7"/>
      <c r="AJ12" s="8"/>
    </row>
    <row r="13" spans="1:36" x14ac:dyDescent="0.3">
      <c r="A13" s="2" t="s">
        <v>44</v>
      </c>
      <c r="B13" s="2" t="s">
        <v>45</v>
      </c>
      <c r="C13" s="2" t="s">
        <v>23</v>
      </c>
      <c r="D13" s="2" t="s">
        <v>46</v>
      </c>
      <c r="E13" s="2" t="s">
        <v>25</v>
      </c>
      <c r="F13" s="2" t="s">
        <v>26</v>
      </c>
      <c r="G13" s="2" t="s">
        <v>25</v>
      </c>
      <c r="H13" s="2" t="s">
        <v>25</v>
      </c>
      <c r="I13" s="2" t="s">
        <v>27</v>
      </c>
      <c r="J13" s="2" t="s">
        <v>28</v>
      </c>
      <c r="K13" s="2" t="s">
        <v>28</v>
      </c>
      <c r="L13" s="2" t="s">
        <v>28</v>
      </c>
      <c r="M13" s="3">
        <v>79489223580</v>
      </c>
      <c r="N13" s="2" t="s">
        <v>28</v>
      </c>
      <c r="O13" s="2" t="s">
        <v>28</v>
      </c>
      <c r="P13" s="2" t="s">
        <v>28</v>
      </c>
      <c r="Q13" s="2" t="s">
        <v>28</v>
      </c>
      <c r="R13" s="2" t="s">
        <v>47</v>
      </c>
      <c r="S13" s="2"/>
      <c r="T13" s="2" t="s">
        <v>48</v>
      </c>
      <c r="U13" s="2" t="s">
        <v>30</v>
      </c>
      <c r="W13" s="2" t="s">
        <v>45</v>
      </c>
      <c r="X13" s="11">
        <f t="shared" si="0"/>
        <v>79489223580</v>
      </c>
      <c r="Y13" s="11">
        <f t="shared" si="1"/>
        <v>63555764369</v>
      </c>
      <c r="Z13" s="11">
        <f t="shared" si="2"/>
        <v>15933459211</v>
      </c>
      <c r="AB13" s="4" t="s">
        <v>45</v>
      </c>
      <c r="AC13" s="4" t="s">
        <v>116</v>
      </c>
      <c r="AD13" s="5">
        <v>3555764369</v>
      </c>
      <c r="AE13" s="5">
        <v>368506600</v>
      </c>
      <c r="AF13" s="5">
        <v>19475380</v>
      </c>
      <c r="AG13" s="5">
        <v>3206733149</v>
      </c>
      <c r="AI13" s="7" t="s">
        <v>45</v>
      </c>
      <c r="AJ13" s="8">
        <v>60000000000</v>
      </c>
    </row>
    <row r="14" spans="1:3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2"/>
      <c r="O14" s="2"/>
      <c r="P14" s="2"/>
      <c r="Q14" s="2"/>
      <c r="R14" s="2"/>
      <c r="S14" s="2"/>
      <c r="T14" s="2"/>
      <c r="U14" s="2"/>
      <c r="W14" s="2"/>
      <c r="X14" s="11"/>
      <c r="Y14" s="11"/>
      <c r="Z14" s="11"/>
      <c r="AB14" s="4"/>
      <c r="AC14" s="4"/>
      <c r="AD14" s="5"/>
      <c r="AE14" s="5"/>
      <c r="AF14" s="5"/>
      <c r="AG14" s="5"/>
      <c r="AI14" s="7"/>
      <c r="AJ14" s="8"/>
    </row>
    <row r="15" spans="1:36" x14ac:dyDescent="0.3">
      <c r="A15" s="2" t="s">
        <v>49</v>
      </c>
      <c r="B15" s="2" t="s">
        <v>50</v>
      </c>
      <c r="C15" s="2" t="s">
        <v>23</v>
      </c>
      <c r="D15" s="2" t="s">
        <v>51</v>
      </c>
      <c r="E15" s="2" t="s">
        <v>25</v>
      </c>
      <c r="F15" s="2" t="s">
        <v>26</v>
      </c>
      <c r="G15" s="2" t="s">
        <v>25</v>
      </c>
      <c r="H15" s="2" t="s">
        <v>25</v>
      </c>
      <c r="I15" s="2" t="s">
        <v>27</v>
      </c>
      <c r="J15" s="2" t="s">
        <v>28</v>
      </c>
      <c r="K15" s="2" t="s">
        <v>28</v>
      </c>
      <c r="L15" s="2" t="s">
        <v>28</v>
      </c>
      <c r="M15" s="3">
        <v>70000000000</v>
      </c>
      <c r="N15" s="2" t="s">
        <v>28</v>
      </c>
      <c r="O15" s="2" t="s">
        <v>28</v>
      </c>
      <c r="P15" s="2" t="s">
        <v>28</v>
      </c>
      <c r="Q15" s="2" t="s">
        <v>28</v>
      </c>
      <c r="R15" s="2" t="s">
        <v>52</v>
      </c>
      <c r="S15" s="2"/>
      <c r="T15" s="2" t="s">
        <v>53</v>
      </c>
      <c r="U15" s="2" t="s">
        <v>30</v>
      </c>
      <c r="W15" s="2" t="s">
        <v>50</v>
      </c>
      <c r="X15" s="11">
        <f t="shared" si="0"/>
        <v>70000000000</v>
      </c>
      <c r="Y15" s="11">
        <f t="shared" si="1"/>
        <v>84521287287</v>
      </c>
      <c r="Z15" s="11">
        <f t="shared" si="2"/>
        <v>-14521287287</v>
      </c>
      <c r="AB15" s="4" t="s">
        <v>50</v>
      </c>
      <c r="AC15" s="4" t="s">
        <v>116</v>
      </c>
      <c r="AD15" s="5">
        <v>4521287287</v>
      </c>
      <c r="AE15" s="5">
        <v>10279509040</v>
      </c>
      <c r="AF15" s="5">
        <v>10000000000</v>
      </c>
      <c r="AG15" s="5">
        <v>4241778247</v>
      </c>
      <c r="AI15" s="7" t="s">
        <v>50</v>
      </c>
      <c r="AJ15" s="8">
        <v>80000000000</v>
      </c>
    </row>
    <row r="16" spans="1:36" x14ac:dyDescent="0.3">
      <c r="A16" s="2" t="s">
        <v>54</v>
      </c>
      <c r="B16" s="2" t="s">
        <v>50</v>
      </c>
      <c r="C16" s="2" t="s">
        <v>23</v>
      </c>
      <c r="D16" s="2" t="s">
        <v>51</v>
      </c>
      <c r="E16" s="2" t="s">
        <v>25</v>
      </c>
      <c r="F16" s="2" t="s">
        <v>26</v>
      </c>
      <c r="G16" s="2" t="s">
        <v>25</v>
      </c>
      <c r="H16" s="2" t="s">
        <v>25</v>
      </c>
      <c r="I16" s="2" t="s">
        <v>27</v>
      </c>
      <c r="J16" s="2" t="s">
        <v>28</v>
      </c>
      <c r="K16" s="2" t="s">
        <v>28</v>
      </c>
      <c r="L16" s="2" t="s">
        <v>28</v>
      </c>
      <c r="M16" s="3">
        <v>20338274420</v>
      </c>
      <c r="N16" s="2" t="s">
        <v>28</v>
      </c>
      <c r="O16" s="2" t="s">
        <v>28</v>
      </c>
      <c r="P16" s="2" t="s">
        <v>28</v>
      </c>
      <c r="Q16" s="2" t="s">
        <v>28</v>
      </c>
      <c r="R16" s="2" t="s">
        <v>47</v>
      </c>
      <c r="S16" s="2"/>
      <c r="T16" s="2" t="s">
        <v>55</v>
      </c>
      <c r="U16" s="2" t="s">
        <v>30</v>
      </c>
      <c r="W16" s="2" t="s">
        <v>50</v>
      </c>
      <c r="X16" s="11">
        <f t="shared" si="0"/>
        <v>20338274420</v>
      </c>
      <c r="Y16" s="11">
        <f t="shared" si="1"/>
        <v>0</v>
      </c>
      <c r="Z16" s="11">
        <f t="shared" si="2"/>
        <v>20338274420</v>
      </c>
      <c r="AB16" s="4"/>
      <c r="AC16" s="4"/>
      <c r="AD16" s="5"/>
      <c r="AE16" s="5"/>
      <c r="AF16" s="5"/>
      <c r="AG16" s="5"/>
      <c r="AI16" s="7"/>
      <c r="AJ16" s="8"/>
    </row>
    <row r="17" spans="1:3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2"/>
      <c r="O17" s="2"/>
      <c r="P17" s="2"/>
      <c r="Q17" s="2"/>
      <c r="R17" s="2"/>
      <c r="S17" s="2"/>
      <c r="T17" s="2"/>
      <c r="U17" s="2"/>
      <c r="W17" s="2"/>
      <c r="X17" s="11"/>
      <c r="Y17" s="11"/>
      <c r="Z17" s="11"/>
      <c r="AB17" s="4"/>
      <c r="AC17" s="4"/>
      <c r="AD17" s="5"/>
      <c r="AE17" s="5"/>
      <c r="AF17" s="5"/>
      <c r="AG17" s="5"/>
      <c r="AI17" s="7"/>
      <c r="AJ17" s="8"/>
    </row>
    <row r="18" spans="1:36" x14ac:dyDescent="0.3">
      <c r="A18" s="2" t="s">
        <v>56</v>
      </c>
      <c r="B18" s="2" t="s">
        <v>57</v>
      </c>
      <c r="C18" s="2" t="s">
        <v>23</v>
      </c>
      <c r="D18" s="2" t="s">
        <v>58</v>
      </c>
      <c r="E18" s="2" t="s">
        <v>25</v>
      </c>
      <c r="F18" s="2" t="s">
        <v>26</v>
      </c>
      <c r="G18" s="2" t="s">
        <v>25</v>
      </c>
      <c r="H18" s="2" t="s">
        <v>25</v>
      </c>
      <c r="I18" s="2" t="s">
        <v>27</v>
      </c>
      <c r="J18" s="2" t="s">
        <v>28</v>
      </c>
      <c r="K18" s="2" t="s">
        <v>28</v>
      </c>
      <c r="L18" s="2" t="s">
        <v>28</v>
      </c>
      <c r="M18" s="3">
        <v>46568805074</v>
      </c>
      <c r="N18" s="2" t="s">
        <v>28</v>
      </c>
      <c r="O18" s="2" t="s">
        <v>28</v>
      </c>
      <c r="P18" s="2" t="s">
        <v>28</v>
      </c>
      <c r="Q18" s="2" t="s">
        <v>28</v>
      </c>
      <c r="R18" s="2" t="s">
        <v>47</v>
      </c>
      <c r="S18" s="2"/>
      <c r="T18" s="2" t="s">
        <v>59</v>
      </c>
      <c r="U18" s="2" t="s">
        <v>30</v>
      </c>
      <c r="W18" s="2" t="s">
        <v>57</v>
      </c>
      <c r="X18" s="11">
        <f t="shared" si="0"/>
        <v>46568805074</v>
      </c>
      <c r="Y18" s="11">
        <f t="shared" si="1"/>
        <v>70695435236</v>
      </c>
      <c r="Z18" s="11">
        <f t="shared" si="2"/>
        <v>-24126630162</v>
      </c>
      <c r="AB18" s="4" t="s">
        <v>57</v>
      </c>
      <c r="AC18" s="4" t="s">
        <v>116</v>
      </c>
      <c r="AD18" s="5">
        <v>23695435236</v>
      </c>
      <c r="AE18" s="5">
        <v>399416940</v>
      </c>
      <c r="AF18" s="5">
        <v>0</v>
      </c>
      <c r="AG18" s="5">
        <v>23296018296</v>
      </c>
      <c r="AI18" s="7" t="s">
        <v>57</v>
      </c>
      <c r="AJ18" s="8">
        <v>47000000000</v>
      </c>
    </row>
    <row r="19" spans="1:36" x14ac:dyDescent="0.3">
      <c r="A19" s="2" t="s">
        <v>60</v>
      </c>
      <c r="B19" s="2" t="s">
        <v>57</v>
      </c>
      <c r="C19" s="2" t="s">
        <v>23</v>
      </c>
      <c r="D19" s="2" t="s">
        <v>51</v>
      </c>
      <c r="E19" s="2" t="s">
        <v>25</v>
      </c>
      <c r="F19" s="2" t="s">
        <v>26</v>
      </c>
      <c r="G19" s="2" t="s">
        <v>25</v>
      </c>
      <c r="H19" s="2" t="s">
        <v>25</v>
      </c>
      <c r="I19" s="2" t="s">
        <v>27</v>
      </c>
      <c r="J19" s="2" t="s">
        <v>28</v>
      </c>
      <c r="K19" s="2" t="s">
        <v>28</v>
      </c>
      <c r="L19" s="2" t="s">
        <v>28</v>
      </c>
      <c r="M19" s="3">
        <v>47000000000</v>
      </c>
      <c r="N19" s="2" t="s">
        <v>28</v>
      </c>
      <c r="O19" s="2" t="s">
        <v>28</v>
      </c>
      <c r="P19" s="2" t="s">
        <v>28</v>
      </c>
      <c r="Q19" s="2" t="s">
        <v>28</v>
      </c>
      <c r="R19" s="2" t="s">
        <v>52</v>
      </c>
      <c r="S19" s="2"/>
      <c r="T19" s="2" t="s">
        <v>61</v>
      </c>
      <c r="U19" s="2" t="s">
        <v>30</v>
      </c>
      <c r="W19" s="2" t="s">
        <v>57</v>
      </c>
      <c r="X19" s="11">
        <f t="shared" si="0"/>
        <v>47000000000</v>
      </c>
      <c r="Y19" s="11">
        <f t="shared" si="1"/>
        <v>0</v>
      </c>
      <c r="Z19" s="11">
        <f t="shared" si="2"/>
        <v>47000000000</v>
      </c>
      <c r="AB19" s="4"/>
      <c r="AC19" s="4"/>
      <c r="AD19" s="5"/>
      <c r="AE19" s="5"/>
      <c r="AF19" s="5"/>
      <c r="AG19" s="5"/>
      <c r="AI19" s="7"/>
      <c r="AJ19" s="8"/>
    </row>
    <row r="20" spans="1:3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2"/>
      <c r="O20" s="2"/>
      <c r="P20" s="2"/>
      <c r="Q20" s="2"/>
      <c r="R20" s="2"/>
      <c r="S20" s="2"/>
      <c r="T20" s="2"/>
      <c r="U20" s="2"/>
      <c r="W20" s="2"/>
      <c r="X20" s="11"/>
      <c r="Y20" s="11"/>
      <c r="Z20" s="11"/>
      <c r="AB20" s="4"/>
      <c r="AC20" s="4"/>
      <c r="AD20" s="5"/>
      <c r="AE20" s="5"/>
      <c r="AF20" s="5"/>
      <c r="AG20" s="5"/>
      <c r="AI20" s="7"/>
      <c r="AJ20" s="8"/>
    </row>
    <row r="21" spans="1:36" x14ac:dyDescent="0.3">
      <c r="A21" s="2" t="s">
        <v>62</v>
      </c>
      <c r="B21" s="2" t="s">
        <v>63</v>
      </c>
      <c r="C21" s="2" t="s">
        <v>23</v>
      </c>
      <c r="D21" s="2" t="s">
        <v>58</v>
      </c>
      <c r="E21" s="2" t="s">
        <v>25</v>
      </c>
      <c r="F21" s="2" t="s">
        <v>26</v>
      </c>
      <c r="G21" s="2" t="s">
        <v>25</v>
      </c>
      <c r="H21" s="2" t="s">
        <v>25</v>
      </c>
      <c r="I21" s="2" t="s">
        <v>27</v>
      </c>
      <c r="J21" s="2" t="s">
        <v>28</v>
      </c>
      <c r="K21" s="2" t="s">
        <v>28</v>
      </c>
      <c r="L21" s="2" t="s">
        <v>28</v>
      </c>
      <c r="M21" s="3">
        <v>84445955938</v>
      </c>
      <c r="N21" s="2" t="s">
        <v>28</v>
      </c>
      <c r="O21" s="2" t="s">
        <v>28</v>
      </c>
      <c r="P21" s="2" t="s">
        <v>28</v>
      </c>
      <c r="Q21" s="2" t="s">
        <v>28</v>
      </c>
      <c r="R21" s="2" t="s">
        <v>64</v>
      </c>
      <c r="S21" s="2"/>
      <c r="T21" s="2" t="s">
        <v>59</v>
      </c>
      <c r="U21" s="2" t="s">
        <v>30</v>
      </c>
      <c r="W21" s="2" t="s">
        <v>63</v>
      </c>
      <c r="X21" s="11">
        <f t="shared" si="0"/>
        <v>84445955938</v>
      </c>
      <c r="Y21" s="11">
        <f t="shared" si="1"/>
        <v>66357066090</v>
      </c>
      <c r="Z21" s="11">
        <f t="shared" si="2"/>
        <v>18088889848</v>
      </c>
      <c r="AB21" s="4" t="s">
        <v>63</v>
      </c>
      <c r="AC21" s="4" t="s">
        <v>116</v>
      </c>
      <c r="AD21" s="5">
        <v>14357066090</v>
      </c>
      <c r="AE21" s="5">
        <v>326379720</v>
      </c>
      <c r="AF21" s="5">
        <v>0</v>
      </c>
      <c r="AG21" s="5">
        <v>14030686370</v>
      </c>
      <c r="AI21" s="7" t="s">
        <v>63</v>
      </c>
      <c r="AJ21" s="8">
        <v>52000000000</v>
      </c>
    </row>
    <row r="22" spans="1:3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2"/>
      <c r="O22" s="2"/>
      <c r="P22" s="2"/>
      <c r="Q22" s="2"/>
      <c r="R22" s="2"/>
      <c r="S22" s="2"/>
      <c r="T22" s="2"/>
      <c r="U22" s="2"/>
      <c r="W22" s="2"/>
      <c r="X22" s="11"/>
      <c r="Y22" s="11"/>
      <c r="Z22" s="11"/>
      <c r="AB22" s="4"/>
      <c r="AC22" s="4"/>
      <c r="AD22" s="5"/>
      <c r="AE22" s="5"/>
      <c r="AF22" s="5"/>
      <c r="AG22" s="5"/>
      <c r="AI22" s="7"/>
      <c r="AJ22" s="8"/>
    </row>
    <row r="23" spans="1:36" x14ac:dyDescent="0.3">
      <c r="A23" s="2" t="s">
        <v>65</v>
      </c>
      <c r="B23" s="2" t="s">
        <v>66</v>
      </c>
      <c r="C23" s="2" t="s">
        <v>23</v>
      </c>
      <c r="D23" s="2" t="s">
        <v>67</v>
      </c>
      <c r="E23" s="2" t="s">
        <v>25</v>
      </c>
      <c r="F23" s="2" t="s">
        <v>26</v>
      </c>
      <c r="G23" s="2" t="s">
        <v>25</v>
      </c>
      <c r="H23" s="2" t="s">
        <v>25</v>
      </c>
      <c r="I23" s="2" t="s">
        <v>27</v>
      </c>
      <c r="J23" s="2" t="s">
        <v>28</v>
      </c>
      <c r="K23" s="2" t="s">
        <v>28</v>
      </c>
      <c r="L23" s="2" t="s">
        <v>28</v>
      </c>
      <c r="M23" s="3">
        <v>99216870763</v>
      </c>
      <c r="N23" s="2" t="s">
        <v>28</v>
      </c>
      <c r="O23" s="2" t="s">
        <v>28</v>
      </c>
      <c r="P23" s="2" t="s">
        <v>28</v>
      </c>
      <c r="Q23" s="2" t="s">
        <v>28</v>
      </c>
      <c r="R23" s="2" t="s">
        <v>64</v>
      </c>
      <c r="S23" s="2"/>
      <c r="T23" s="2" t="s">
        <v>68</v>
      </c>
      <c r="U23" s="2" t="s">
        <v>30</v>
      </c>
      <c r="W23" s="2" t="s">
        <v>66</v>
      </c>
      <c r="X23" s="11">
        <f t="shared" si="0"/>
        <v>99216870763</v>
      </c>
      <c r="Y23" s="11">
        <f t="shared" si="1"/>
        <v>82280901355</v>
      </c>
      <c r="Z23" s="11">
        <f t="shared" si="2"/>
        <v>16935969408</v>
      </c>
      <c r="AB23" s="4" t="s">
        <v>66</v>
      </c>
      <c r="AC23" s="4" t="s">
        <v>116</v>
      </c>
      <c r="AD23" s="5">
        <v>35280901355</v>
      </c>
      <c r="AE23" s="5">
        <v>254023760</v>
      </c>
      <c r="AF23" s="5">
        <v>0</v>
      </c>
      <c r="AG23" s="5">
        <v>35026877595</v>
      </c>
      <c r="AI23" s="7" t="s">
        <v>66</v>
      </c>
      <c r="AJ23" s="8">
        <v>47000000000</v>
      </c>
    </row>
    <row r="24" spans="1:3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2"/>
      <c r="O24" s="2"/>
      <c r="P24" s="2"/>
      <c r="Q24" s="2"/>
      <c r="R24" s="2"/>
      <c r="S24" s="2"/>
      <c r="T24" s="2"/>
      <c r="U24" s="2"/>
      <c r="W24" s="2"/>
      <c r="X24" s="11"/>
      <c r="Y24" s="11"/>
      <c r="Z24" s="11"/>
      <c r="AB24" s="4"/>
      <c r="AC24" s="4"/>
      <c r="AD24" s="5"/>
      <c r="AE24" s="5"/>
      <c r="AF24" s="5"/>
      <c r="AG24" s="5"/>
      <c r="AI24" s="7"/>
      <c r="AJ24" s="8"/>
    </row>
    <row r="25" spans="1:36" x14ac:dyDescent="0.3">
      <c r="A25" s="2" t="s">
        <v>69</v>
      </c>
      <c r="B25" s="2" t="s">
        <v>70</v>
      </c>
      <c r="C25" s="2" t="s">
        <v>23</v>
      </c>
      <c r="D25" s="2" t="s">
        <v>71</v>
      </c>
      <c r="E25" s="2" t="s">
        <v>25</v>
      </c>
      <c r="F25" s="2" t="s">
        <v>26</v>
      </c>
      <c r="G25" s="2" t="s">
        <v>25</v>
      </c>
      <c r="H25" s="2" t="s">
        <v>25</v>
      </c>
      <c r="I25" s="2" t="s">
        <v>27</v>
      </c>
      <c r="J25" s="2" t="s">
        <v>28</v>
      </c>
      <c r="K25" s="2" t="s">
        <v>28</v>
      </c>
      <c r="L25" s="2" t="s">
        <v>28</v>
      </c>
      <c r="M25" s="3">
        <v>145909209689</v>
      </c>
      <c r="N25" s="2" t="s">
        <v>28</v>
      </c>
      <c r="O25" s="2" t="s">
        <v>28</v>
      </c>
      <c r="P25" s="2" t="s">
        <v>28</v>
      </c>
      <c r="Q25" s="2" t="s">
        <v>28</v>
      </c>
      <c r="R25" s="2" t="s">
        <v>72</v>
      </c>
      <c r="S25" s="2"/>
      <c r="T25" s="2" t="s">
        <v>73</v>
      </c>
      <c r="U25" s="2" t="s">
        <v>30</v>
      </c>
      <c r="W25" s="2" t="s">
        <v>70</v>
      </c>
      <c r="X25" s="11">
        <f t="shared" si="0"/>
        <v>145909209689</v>
      </c>
      <c r="Y25" s="11">
        <f t="shared" si="1"/>
        <v>103846955901</v>
      </c>
      <c r="Z25" s="11">
        <f t="shared" si="2"/>
        <v>42062253788</v>
      </c>
      <c r="AB25" s="4" t="s">
        <v>70</v>
      </c>
      <c r="AC25" s="4" t="s">
        <v>116</v>
      </c>
      <c r="AD25" s="5">
        <v>73846955901</v>
      </c>
      <c r="AE25" s="5">
        <v>239795390</v>
      </c>
      <c r="AF25" s="5">
        <v>8151000</v>
      </c>
      <c r="AG25" s="5">
        <v>73615311511</v>
      </c>
      <c r="AI25" s="7" t="s">
        <v>70</v>
      </c>
      <c r="AJ25" s="8">
        <v>30000000000</v>
      </c>
    </row>
    <row r="26" spans="1:3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2"/>
      <c r="O26" s="2"/>
      <c r="P26" s="2"/>
      <c r="Q26" s="2"/>
      <c r="R26" s="2"/>
      <c r="S26" s="2"/>
      <c r="T26" s="2"/>
      <c r="U26" s="2"/>
      <c r="W26" s="2"/>
      <c r="X26" s="11"/>
      <c r="Y26" s="11"/>
      <c r="Z26" s="11"/>
      <c r="AB26" s="4"/>
      <c r="AC26" s="4"/>
      <c r="AD26" s="5"/>
      <c r="AE26" s="5"/>
      <c r="AF26" s="5"/>
      <c r="AG26" s="5"/>
      <c r="AI26" s="7"/>
      <c r="AJ26" s="8"/>
    </row>
    <row r="27" spans="1:36" x14ac:dyDescent="0.3">
      <c r="A27" s="2" t="s">
        <v>74</v>
      </c>
      <c r="B27" s="2" t="s">
        <v>75</v>
      </c>
      <c r="C27" s="2" t="s">
        <v>23</v>
      </c>
      <c r="D27" s="2" t="s">
        <v>76</v>
      </c>
      <c r="E27" s="2" t="s">
        <v>25</v>
      </c>
      <c r="F27" s="2" t="s">
        <v>26</v>
      </c>
      <c r="G27" s="2" t="s">
        <v>25</v>
      </c>
      <c r="H27" s="2" t="s">
        <v>25</v>
      </c>
      <c r="I27" s="2" t="s">
        <v>27</v>
      </c>
      <c r="J27" s="2" t="s">
        <v>28</v>
      </c>
      <c r="K27" s="2" t="s">
        <v>28</v>
      </c>
      <c r="L27" s="2"/>
      <c r="M27" s="3">
        <v>160346631545</v>
      </c>
      <c r="N27" s="2"/>
      <c r="O27" s="2" t="s">
        <v>28</v>
      </c>
      <c r="P27" s="2" t="s">
        <v>28</v>
      </c>
      <c r="Q27" s="2" t="s">
        <v>28</v>
      </c>
      <c r="R27" s="2" t="s">
        <v>77</v>
      </c>
      <c r="S27" s="2"/>
      <c r="T27" s="2" t="s">
        <v>78</v>
      </c>
      <c r="U27" s="2" t="s">
        <v>30</v>
      </c>
      <c r="W27" s="2" t="s">
        <v>75</v>
      </c>
      <c r="X27" s="11">
        <f t="shared" si="0"/>
        <v>160346631545</v>
      </c>
      <c r="Y27" s="11">
        <f t="shared" si="1"/>
        <v>154758262229</v>
      </c>
      <c r="Z27" s="11">
        <f t="shared" si="2"/>
        <v>5588369316</v>
      </c>
      <c r="AB27" s="4" t="s">
        <v>75</v>
      </c>
      <c r="AC27" s="4" t="s">
        <v>116</v>
      </c>
      <c r="AD27" s="5">
        <v>74758262229</v>
      </c>
      <c r="AE27" s="5">
        <v>213635892</v>
      </c>
      <c r="AF27" s="5">
        <v>0</v>
      </c>
      <c r="AG27" s="5">
        <v>74544626337</v>
      </c>
      <c r="AI27" s="7" t="s">
        <v>75</v>
      </c>
      <c r="AJ27" s="8">
        <v>80000000000</v>
      </c>
    </row>
    <row r="28" spans="1:3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2"/>
      <c r="O28" s="2"/>
      <c r="P28" s="2"/>
      <c r="Q28" s="2"/>
      <c r="R28" s="2"/>
      <c r="S28" s="2"/>
      <c r="T28" s="2"/>
      <c r="U28" s="2"/>
      <c r="W28" s="2"/>
      <c r="X28" s="11"/>
      <c r="Y28" s="11"/>
      <c r="Z28" s="11"/>
      <c r="AB28" s="4"/>
      <c r="AC28" s="4"/>
      <c r="AD28" s="5"/>
      <c r="AE28" s="5"/>
      <c r="AF28" s="5"/>
      <c r="AG28" s="5"/>
      <c r="AI28" s="7"/>
      <c r="AJ28" s="8"/>
    </row>
    <row r="29" spans="1:36" x14ac:dyDescent="0.3">
      <c r="A29" s="2" t="s">
        <v>79</v>
      </c>
      <c r="B29" s="2" t="s">
        <v>80</v>
      </c>
      <c r="C29" s="2" t="s">
        <v>23</v>
      </c>
      <c r="D29" s="2" t="s">
        <v>81</v>
      </c>
      <c r="E29" s="2" t="s">
        <v>25</v>
      </c>
      <c r="F29" s="2" t="s">
        <v>26</v>
      </c>
      <c r="G29" s="2" t="s">
        <v>25</v>
      </c>
      <c r="H29" s="2" t="s">
        <v>25</v>
      </c>
      <c r="I29" s="2" t="s">
        <v>27</v>
      </c>
      <c r="J29" s="2" t="s">
        <v>28</v>
      </c>
      <c r="K29" s="2" t="s">
        <v>28</v>
      </c>
      <c r="L29" s="2"/>
      <c r="M29" s="3">
        <v>191599937062</v>
      </c>
      <c r="N29" s="2"/>
      <c r="O29" s="2" t="s">
        <v>28</v>
      </c>
      <c r="P29" s="2" t="s">
        <v>28</v>
      </c>
      <c r="Q29" s="2" t="s">
        <v>28</v>
      </c>
      <c r="R29" s="2" t="s">
        <v>82</v>
      </c>
      <c r="S29" s="2"/>
      <c r="T29" s="2" t="s">
        <v>83</v>
      </c>
      <c r="U29" s="2" t="s">
        <v>30</v>
      </c>
      <c r="W29" s="2" t="s">
        <v>80</v>
      </c>
      <c r="X29" s="11">
        <f t="shared" si="0"/>
        <v>191599937062</v>
      </c>
      <c r="Y29" s="11">
        <f t="shared" si="1"/>
        <v>171365276598</v>
      </c>
      <c r="Z29" s="11">
        <f t="shared" si="2"/>
        <v>20234660464</v>
      </c>
      <c r="AB29" s="4" t="s">
        <v>80</v>
      </c>
      <c r="AC29" s="4" t="s">
        <v>116</v>
      </c>
      <c r="AD29" s="5">
        <v>71365276598</v>
      </c>
      <c r="AE29" s="5">
        <v>966817454</v>
      </c>
      <c r="AF29" s="5">
        <v>50000</v>
      </c>
      <c r="AG29" s="5">
        <v>70398509144</v>
      </c>
      <c r="AI29" s="7" t="s">
        <v>80</v>
      </c>
      <c r="AJ29" s="8">
        <v>100000000000</v>
      </c>
    </row>
    <row r="30" spans="1:3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2"/>
      <c r="O30" s="2"/>
      <c r="P30" s="2"/>
      <c r="Q30" s="2"/>
      <c r="R30" s="2"/>
      <c r="S30" s="2"/>
      <c r="T30" s="2"/>
      <c r="U30" s="2"/>
      <c r="W30" s="2"/>
      <c r="X30" s="11"/>
      <c r="Y30" s="11"/>
      <c r="Z30" s="11"/>
      <c r="AB30" s="4"/>
      <c r="AC30" s="4"/>
      <c r="AD30" s="5"/>
      <c r="AE30" s="5"/>
      <c r="AF30" s="5"/>
      <c r="AG30" s="5"/>
      <c r="AI30" s="7"/>
      <c r="AJ30" s="8"/>
    </row>
    <row r="31" spans="1:36" x14ac:dyDescent="0.3">
      <c r="A31" s="2" t="s">
        <v>84</v>
      </c>
      <c r="B31" s="2" t="s">
        <v>85</v>
      </c>
      <c r="C31" s="2" t="s">
        <v>23</v>
      </c>
      <c r="D31" s="2" t="s">
        <v>86</v>
      </c>
      <c r="E31" s="2" t="s">
        <v>25</v>
      </c>
      <c r="F31" s="2" t="s">
        <v>26</v>
      </c>
      <c r="G31" s="2" t="s">
        <v>25</v>
      </c>
      <c r="H31" s="2" t="s">
        <v>25</v>
      </c>
      <c r="I31" s="2" t="s">
        <v>27</v>
      </c>
      <c r="J31" s="2" t="s">
        <v>28</v>
      </c>
      <c r="K31" s="2" t="s">
        <v>28</v>
      </c>
      <c r="L31" s="2"/>
      <c r="M31" s="3">
        <v>204197923959</v>
      </c>
      <c r="N31" s="2"/>
      <c r="O31" s="2" t="s">
        <v>28</v>
      </c>
      <c r="P31" s="2" t="s">
        <v>28</v>
      </c>
      <c r="Q31" s="2" t="s">
        <v>28</v>
      </c>
      <c r="R31" s="2" t="s">
        <v>87</v>
      </c>
      <c r="S31" s="2"/>
      <c r="T31" s="2" t="s">
        <v>88</v>
      </c>
      <c r="U31" s="2" t="s">
        <v>30</v>
      </c>
      <c r="W31" s="2" t="s">
        <v>85</v>
      </c>
      <c r="X31" s="11">
        <f t="shared" si="0"/>
        <v>204197923959</v>
      </c>
      <c r="Y31" s="11">
        <f t="shared" si="1"/>
        <v>170850490772</v>
      </c>
      <c r="Z31" s="11">
        <f t="shared" si="2"/>
        <v>33347433187</v>
      </c>
      <c r="AB31" s="4" t="s">
        <v>85</v>
      </c>
      <c r="AC31" s="4" t="s">
        <v>116</v>
      </c>
      <c r="AD31" s="5">
        <v>20850490772</v>
      </c>
      <c r="AE31" s="5">
        <v>693694663</v>
      </c>
      <c r="AF31" s="5">
        <v>0</v>
      </c>
      <c r="AG31" s="5">
        <v>20156796109</v>
      </c>
      <c r="AI31" s="7" t="s">
        <v>85</v>
      </c>
      <c r="AJ31" s="8">
        <v>150000000000</v>
      </c>
    </row>
    <row r="32" spans="1:3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2"/>
      <c r="O32" s="2"/>
      <c r="P32" s="2"/>
      <c r="Q32" s="2"/>
      <c r="R32" s="2"/>
      <c r="S32" s="2"/>
      <c r="T32" s="2"/>
      <c r="U32" s="2"/>
      <c r="W32" s="2"/>
      <c r="X32" s="11"/>
      <c r="Y32" s="11"/>
      <c r="Z32" s="11"/>
      <c r="AB32" s="4"/>
      <c r="AC32" s="4"/>
      <c r="AD32" s="5"/>
      <c r="AE32" s="5"/>
      <c r="AF32" s="5"/>
      <c r="AG32" s="5"/>
      <c r="AI32" s="7"/>
      <c r="AJ32" s="8"/>
    </row>
    <row r="33" spans="1:36" x14ac:dyDescent="0.3">
      <c r="A33" s="2" t="s">
        <v>89</v>
      </c>
      <c r="B33" s="2" t="s">
        <v>90</v>
      </c>
      <c r="C33" s="2" t="s">
        <v>23</v>
      </c>
      <c r="D33" s="2" t="s">
        <v>91</v>
      </c>
      <c r="E33" s="2" t="s">
        <v>25</v>
      </c>
      <c r="F33" s="2" t="s">
        <v>26</v>
      </c>
      <c r="G33" s="2" t="s">
        <v>25</v>
      </c>
      <c r="H33" s="2" t="s">
        <v>25</v>
      </c>
      <c r="I33" s="2" t="s">
        <v>27</v>
      </c>
      <c r="J33" s="2" t="s">
        <v>28</v>
      </c>
      <c r="K33" s="2" t="s">
        <v>28</v>
      </c>
      <c r="L33" s="2"/>
      <c r="M33" s="3">
        <v>118647377954</v>
      </c>
      <c r="N33" s="2"/>
      <c r="O33" s="2" t="s">
        <v>28</v>
      </c>
      <c r="P33" s="2" t="s">
        <v>28</v>
      </c>
      <c r="Q33" s="2" t="s">
        <v>28</v>
      </c>
      <c r="R33" s="2" t="s">
        <v>92</v>
      </c>
      <c r="S33" s="2"/>
      <c r="T33" s="2" t="s">
        <v>61</v>
      </c>
      <c r="U33" s="2" t="s">
        <v>30</v>
      </c>
      <c r="W33" s="2" t="s">
        <v>90</v>
      </c>
      <c r="X33" s="11">
        <f t="shared" si="0"/>
        <v>118647377954</v>
      </c>
      <c r="Y33" s="11">
        <f t="shared" si="1"/>
        <v>100618578542</v>
      </c>
      <c r="Z33" s="11">
        <f t="shared" si="2"/>
        <v>18028799412</v>
      </c>
      <c r="AB33" s="4" t="s">
        <v>90</v>
      </c>
      <c r="AC33" s="4" t="s">
        <v>116</v>
      </c>
      <c r="AD33" s="5">
        <v>20618578542</v>
      </c>
      <c r="AE33" s="5">
        <v>313148762</v>
      </c>
      <c r="AF33" s="5">
        <v>0</v>
      </c>
      <c r="AG33" s="5">
        <v>20305429780</v>
      </c>
      <c r="AI33" s="7" t="s">
        <v>90</v>
      </c>
      <c r="AJ33" s="8">
        <v>80000000000</v>
      </c>
    </row>
    <row r="34" spans="1:3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2"/>
      <c r="O34" s="2"/>
      <c r="P34" s="2"/>
      <c r="Q34" s="2"/>
      <c r="R34" s="2"/>
      <c r="S34" s="2"/>
      <c r="T34" s="2"/>
      <c r="U34" s="2"/>
      <c r="W34" s="2"/>
      <c r="X34" s="11"/>
      <c r="Y34" s="11"/>
      <c r="Z34" s="11"/>
      <c r="AB34" s="4"/>
      <c r="AC34" s="4"/>
      <c r="AD34" s="5"/>
      <c r="AE34" s="5"/>
      <c r="AF34" s="5"/>
      <c r="AG34" s="5"/>
      <c r="AI34" s="7"/>
      <c r="AJ34" s="8"/>
    </row>
    <row r="35" spans="1:36" x14ac:dyDescent="0.3">
      <c r="A35" s="2" t="s">
        <v>93</v>
      </c>
      <c r="B35" s="2" t="s">
        <v>94</v>
      </c>
      <c r="C35" s="2" t="s">
        <v>23</v>
      </c>
      <c r="D35" s="2" t="s">
        <v>95</v>
      </c>
      <c r="E35" s="2" t="s">
        <v>25</v>
      </c>
      <c r="F35" s="2" t="s">
        <v>26</v>
      </c>
      <c r="G35" s="2" t="s">
        <v>25</v>
      </c>
      <c r="H35" s="2" t="s">
        <v>25</v>
      </c>
      <c r="I35" s="2" t="s">
        <v>27</v>
      </c>
      <c r="J35" s="2" t="s">
        <v>28</v>
      </c>
      <c r="K35" s="2" t="s">
        <v>28</v>
      </c>
      <c r="L35" s="2"/>
      <c r="M35" s="3">
        <v>70819804846</v>
      </c>
      <c r="N35" s="2"/>
      <c r="O35" s="2" t="s">
        <v>28</v>
      </c>
      <c r="P35" s="2" t="s">
        <v>28</v>
      </c>
      <c r="Q35" s="2" t="s">
        <v>28</v>
      </c>
      <c r="R35" s="2" t="s">
        <v>96</v>
      </c>
      <c r="S35" s="2"/>
      <c r="T35" s="2" t="s">
        <v>88</v>
      </c>
      <c r="U35" s="2" t="s">
        <v>30</v>
      </c>
      <c r="W35" s="2" t="s">
        <v>94</v>
      </c>
      <c r="X35" s="11">
        <f t="shared" si="0"/>
        <v>70819804846</v>
      </c>
      <c r="Y35" s="11">
        <f t="shared" si="1"/>
        <v>52684636382</v>
      </c>
      <c r="Z35" s="11">
        <f t="shared" si="2"/>
        <v>18135168464</v>
      </c>
      <c r="AB35" s="4" t="s">
        <v>94</v>
      </c>
      <c r="AC35" s="4" t="s">
        <v>116</v>
      </c>
      <c r="AD35" s="5">
        <v>52684636382</v>
      </c>
      <c r="AE35" s="5">
        <v>680063140</v>
      </c>
      <c r="AF35" s="5">
        <v>278321730</v>
      </c>
      <c r="AG35" s="5">
        <v>52282894972</v>
      </c>
      <c r="AI35" s="7"/>
      <c r="AJ35" s="8"/>
    </row>
    <row r="36" spans="1:3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2"/>
      <c r="O36" s="2"/>
      <c r="P36" s="2"/>
      <c r="Q36" s="2"/>
      <c r="R36" s="2"/>
      <c r="S36" s="2"/>
      <c r="T36" s="2"/>
      <c r="U36" s="2"/>
      <c r="W36" s="2"/>
      <c r="X36" s="11"/>
      <c r="Y36" s="11"/>
      <c r="Z36" s="11"/>
      <c r="AB36" s="4"/>
      <c r="AC36" s="4"/>
      <c r="AD36" s="5"/>
      <c r="AE36" s="5"/>
      <c r="AF36" s="5"/>
      <c r="AG36" s="5"/>
      <c r="AI36" s="7"/>
      <c r="AJ36" s="8"/>
    </row>
    <row r="37" spans="1:36" x14ac:dyDescent="0.3">
      <c r="A37" s="2" t="s">
        <v>97</v>
      </c>
      <c r="B37" s="2" t="s">
        <v>98</v>
      </c>
      <c r="C37" s="2" t="s">
        <v>23</v>
      </c>
      <c r="D37" s="2" t="s">
        <v>99</v>
      </c>
      <c r="E37" s="2" t="s">
        <v>25</v>
      </c>
      <c r="F37" s="2" t="s">
        <v>26</v>
      </c>
      <c r="G37" s="2" t="s">
        <v>25</v>
      </c>
      <c r="H37" s="2" t="s">
        <v>25</v>
      </c>
      <c r="I37" s="2" t="s">
        <v>27</v>
      </c>
      <c r="J37" s="2" t="s">
        <v>28</v>
      </c>
      <c r="K37" s="2" t="s">
        <v>28</v>
      </c>
      <c r="L37" s="2"/>
      <c r="M37" s="3">
        <v>61690388253</v>
      </c>
      <c r="N37" s="2"/>
      <c r="O37" s="2" t="s">
        <v>28</v>
      </c>
      <c r="P37" s="2" t="s">
        <v>28</v>
      </c>
      <c r="Q37" s="2" t="s">
        <v>28</v>
      </c>
      <c r="R37" s="2" t="s">
        <v>100</v>
      </c>
      <c r="S37" s="2"/>
      <c r="T37" s="2" t="s">
        <v>101</v>
      </c>
      <c r="U37" s="2" t="s">
        <v>30</v>
      </c>
      <c r="W37" s="2" t="s">
        <v>98</v>
      </c>
      <c r="X37" s="11">
        <f t="shared" si="0"/>
        <v>61690388253</v>
      </c>
      <c r="Y37" s="11">
        <f t="shared" si="1"/>
        <v>56543898717</v>
      </c>
      <c r="Z37" s="11">
        <f t="shared" si="2"/>
        <v>5146489536</v>
      </c>
      <c r="AB37" s="4" t="s">
        <v>98</v>
      </c>
      <c r="AC37" s="4" t="s">
        <v>116</v>
      </c>
      <c r="AD37" s="5">
        <v>36543898717</v>
      </c>
      <c r="AE37" s="5">
        <v>4509205002</v>
      </c>
      <c r="AF37" s="5">
        <v>20283628950</v>
      </c>
      <c r="AG37" s="5">
        <v>52318322665</v>
      </c>
      <c r="AI37" s="7" t="s">
        <v>98</v>
      </c>
      <c r="AJ37" s="8">
        <v>20000000000</v>
      </c>
    </row>
    <row r="38" spans="1:3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2"/>
      <c r="O38" s="2"/>
      <c r="P38" s="2"/>
      <c r="Q38" s="2"/>
      <c r="R38" s="2"/>
      <c r="S38" s="2"/>
      <c r="T38" s="2"/>
      <c r="U38" s="2"/>
      <c r="W38" s="2"/>
      <c r="X38" s="11"/>
      <c r="Y38" s="11"/>
      <c r="Z38" s="11"/>
      <c r="AB38" s="4"/>
      <c r="AC38" s="4"/>
      <c r="AD38" s="5"/>
      <c r="AE38" s="5"/>
      <c r="AF38" s="5"/>
      <c r="AG38" s="5"/>
      <c r="AI38" s="7"/>
      <c r="AJ38" s="8"/>
    </row>
    <row r="39" spans="1:36" x14ac:dyDescent="0.3">
      <c r="A39" s="2" t="s">
        <v>102</v>
      </c>
      <c r="B39" s="2" t="s">
        <v>103</v>
      </c>
      <c r="C39" s="2" t="s">
        <v>23</v>
      </c>
      <c r="D39" s="2" t="s">
        <v>99</v>
      </c>
      <c r="E39" s="2" t="s">
        <v>25</v>
      </c>
      <c r="F39" s="2" t="s">
        <v>26</v>
      </c>
      <c r="G39" s="2" t="s">
        <v>25</v>
      </c>
      <c r="H39" s="2" t="s">
        <v>25</v>
      </c>
      <c r="I39" s="2" t="s">
        <v>27</v>
      </c>
      <c r="J39" s="2" t="s">
        <v>28</v>
      </c>
      <c r="K39" s="2" t="s">
        <v>28</v>
      </c>
      <c r="L39" s="2" t="s">
        <v>28</v>
      </c>
      <c r="M39" s="3">
        <v>101186086110</v>
      </c>
      <c r="N39" s="2" t="s">
        <v>28</v>
      </c>
      <c r="O39" s="2" t="s">
        <v>28</v>
      </c>
      <c r="P39" s="2" t="s">
        <v>28</v>
      </c>
      <c r="Q39" s="2" t="s">
        <v>28</v>
      </c>
      <c r="R39" s="2" t="s">
        <v>104</v>
      </c>
      <c r="S39" s="2"/>
      <c r="T39" s="2" t="s">
        <v>105</v>
      </c>
      <c r="U39" s="2" t="s">
        <v>30</v>
      </c>
      <c r="W39" s="2" t="s">
        <v>103</v>
      </c>
      <c r="X39" s="11">
        <f t="shared" si="0"/>
        <v>101186086110</v>
      </c>
      <c r="Y39" s="11">
        <f t="shared" si="1"/>
        <v>92609226765</v>
      </c>
      <c r="Z39" s="11">
        <f t="shared" si="2"/>
        <v>8576859345</v>
      </c>
      <c r="AB39" s="4" t="s">
        <v>103</v>
      </c>
      <c r="AC39" s="4" t="s">
        <v>116</v>
      </c>
      <c r="AD39" s="5">
        <v>7609226765</v>
      </c>
      <c r="AE39" s="5">
        <v>235839764</v>
      </c>
      <c r="AF39" s="5">
        <v>284883870</v>
      </c>
      <c r="AG39" s="5">
        <v>7658270871</v>
      </c>
      <c r="AI39" s="7" t="s">
        <v>103</v>
      </c>
      <c r="AJ39" s="8">
        <v>85000000000</v>
      </c>
    </row>
    <row r="40" spans="1:3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2"/>
      <c r="O40" s="2"/>
      <c r="P40" s="2"/>
      <c r="Q40" s="2"/>
      <c r="R40" s="2"/>
      <c r="S40" s="2"/>
      <c r="T40" s="2"/>
      <c r="U40" s="2"/>
      <c r="W40" s="2"/>
      <c r="X40" s="11"/>
      <c r="Y40" s="11"/>
      <c r="Z40" s="11"/>
      <c r="AB40" s="4"/>
      <c r="AC40" s="4"/>
      <c r="AD40" s="5"/>
      <c r="AE40" s="5"/>
      <c r="AF40" s="5"/>
      <c r="AG40" s="5"/>
      <c r="AI40" s="7"/>
      <c r="AJ40" s="8"/>
    </row>
    <row r="41" spans="1:36" x14ac:dyDescent="0.3">
      <c r="A41" s="2" t="s">
        <v>106</v>
      </c>
      <c r="B41" s="2" t="s">
        <v>107</v>
      </c>
      <c r="C41" s="2" t="s">
        <v>23</v>
      </c>
      <c r="D41" s="2" t="s">
        <v>108</v>
      </c>
      <c r="E41" s="2" t="s">
        <v>25</v>
      </c>
      <c r="F41" s="2" t="s">
        <v>26</v>
      </c>
      <c r="G41" s="2" t="s">
        <v>25</v>
      </c>
      <c r="H41" s="2" t="s">
        <v>25</v>
      </c>
      <c r="I41" s="2" t="s">
        <v>27</v>
      </c>
      <c r="J41" s="2" t="s">
        <v>28</v>
      </c>
      <c r="K41" s="2" t="s">
        <v>28</v>
      </c>
      <c r="L41" s="2" t="s">
        <v>28</v>
      </c>
      <c r="M41" s="3">
        <v>136706926960</v>
      </c>
      <c r="N41" s="2" t="s">
        <v>28</v>
      </c>
      <c r="O41" s="2" t="s">
        <v>28</v>
      </c>
      <c r="P41" s="2" t="s">
        <v>28</v>
      </c>
      <c r="Q41" s="2" t="s">
        <v>28</v>
      </c>
      <c r="R41" s="2" t="s">
        <v>109</v>
      </c>
      <c r="S41" s="2"/>
      <c r="T41" s="2" t="s">
        <v>110</v>
      </c>
      <c r="U41" s="2" t="s">
        <v>30</v>
      </c>
      <c r="W41" s="2" t="s">
        <v>107</v>
      </c>
      <c r="X41" s="11">
        <f t="shared" si="0"/>
        <v>136706926960</v>
      </c>
      <c r="Y41" s="11">
        <f t="shared" si="1"/>
        <v>115823215811</v>
      </c>
      <c r="Z41" s="11">
        <f t="shared" si="2"/>
        <v>20883711149</v>
      </c>
      <c r="AB41" s="4" t="s">
        <v>107</v>
      </c>
      <c r="AC41" s="4" t="s">
        <v>116</v>
      </c>
      <c r="AD41" s="5">
        <v>15823215811</v>
      </c>
      <c r="AE41" s="5">
        <v>1031026486</v>
      </c>
      <c r="AF41" s="5">
        <v>285154670</v>
      </c>
      <c r="AG41" s="5">
        <v>15077343995</v>
      </c>
      <c r="AI41" s="7" t="s">
        <v>107</v>
      </c>
      <c r="AJ41" s="8">
        <v>100000000000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2025-11-14T01:42:39Z</dcterms:created>
  <dcterms:modified xsi:type="dcterms:W3CDTF">2025-11-14T06:06:14Z</dcterms:modified>
</cp:coreProperties>
</file>