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13_ncr:1_{29F72A4B-94B3-4B1D-8AD7-7CA64F895B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35" i="1"/>
  <c r="L23" i="1"/>
  <c r="J8" i="1"/>
  <c r="O6" i="1"/>
</calcChain>
</file>

<file path=xl/sharedStrings.xml><?xml version="1.0" encoding="utf-8"?>
<sst xmlns="http://schemas.openxmlformats.org/spreadsheetml/2006/main" count="178" uniqueCount="80">
  <si>
    <t>KEORAEIL</t>
  </si>
  <si>
    <t>SUNAPIL</t>
  </si>
  <si>
    <t>GUNGU_CODE</t>
  </si>
  <si>
    <t>HOIGYE_YEAR</t>
  </si>
  <si>
    <t>YEAR_GUBUN</t>
  </si>
  <si>
    <t>BANK_GUBUN</t>
  </si>
  <si>
    <t>JOJEONG_GUBUN</t>
  </si>
  <si>
    <t>IPJI_GUBUN</t>
  </si>
  <si>
    <t>JIBGYE_CODE</t>
  </si>
  <si>
    <t>GYOYUKSE_AMT</t>
  </si>
  <si>
    <t>NONGTEUKSE_AMT</t>
  </si>
  <si>
    <t>JIBANGSE_CNT</t>
  </si>
  <si>
    <t>JIBANGSE_AMT</t>
  </si>
  <si>
    <t>SEWOI_CNT</t>
  </si>
  <si>
    <t>SEWOI_AMT</t>
  </si>
  <si>
    <t>SUNAP_CNT</t>
  </si>
  <si>
    <t>SUNAP_AMT</t>
  </si>
  <si>
    <t>JUSEOK</t>
  </si>
  <si>
    <t>SEIP_GYEJWANO</t>
  </si>
  <si>
    <t>SEQ_NO</t>
  </si>
  <si>
    <t>GEUMGO_CODE</t>
  </si>
  <si>
    <t>20250102</t>
  </si>
  <si>
    <t>0</t>
  </si>
  <si>
    <t>2025</t>
  </si>
  <si>
    <t>1</t>
  </si>
  <si>
    <t>26</t>
  </si>
  <si>
    <t>28</t>
  </si>
  <si>
    <t>2</t>
  </si>
  <si>
    <t>3</t>
  </si>
  <si>
    <t>20250124</t>
  </si>
  <si>
    <t>209332</t>
  </si>
  <si>
    <t>하수과-2/2025회계 가이월</t>
  </si>
  <si>
    <t>11</t>
  </si>
  <si>
    <t>20250107</t>
  </si>
  <si>
    <t>하수과-298/2025회계 가이월</t>
  </si>
  <si>
    <t>20250131</t>
  </si>
  <si>
    <t>하수과-1182/2025회계 최종이월</t>
  </si>
  <si>
    <t>20250623</t>
  </si>
  <si>
    <t>20250514</t>
  </si>
  <si>
    <t>하수과-1182/2024정기예금이월(1월월보마감/5/14(정기예금해지일)로조정요청)</t>
  </si>
  <si>
    <t>02800022100000099</t>
    <phoneticPr fontId="3" type="noConversion"/>
  </si>
  <si>
    <t>순번</t>
  </si>
  <si>
    <t>거래일</t>
  </si>
  <si>
    <t>기준일</t>
  </si>
  <si>
    <t>기산일</t>
  </si>
  <si>
    <t>계좌번호</t>
  </si>
  <si>
    <t>구청</t>
  </si>
  <si>
    <t>적요</t>
  </si>
  <si>
    <t>정정취소구분</t>
  </si>
  <si>
    <t>입지구분</t>
  </si>
  <si>
    <t>거래구분</t>
  </si>
  <si>
    <t>한도여부</t>
  </si>
  <si>
    <t>지급액</t>
  </si>
  <si>
    <t>입금액</t>
  </si>
  <si>
    <t>잔액</t>
  </si>
  <si>
    <t>한도잔액</t>
  </si>
  <si>
    <t>연결세출계좌번호</t>
  </si>
  <si>
    <t>지급명령번호</t>
  </si>
  <si>
    <t>거래점</t>
  </si>
  <si>
    <t>2025-01-02</t>
  </si>
  <si>
    <t>028-000-22-10-00000-99 (하수도공기업특별회계 세입금　　　　)</t>
  </si>
  <si>
    <t>본청</t>
  </si>
  <si>
    <t>2024년가이월</t>
  </si>
  <si>
    <t>지급</t>
  </si>
  <si>
    <t>62-4 가이월지급</t>
  </si>
  <si>
    <t>N</t>
  </si>
  <si>
    <t>7127</t>
  </si>
  <si>
    <t>2025-01-07</t>
  </si>
  <si>
    <t>하수과-298/24년도회계가이월</t>
  </si>
  <si>
    <t>2025-01-24</t>
  </si>
  <si>
    <t>하수과-1182/정기예금 이월(2024&gt;2025)</t>
  </si>
  <si>
    <t>하수과-1182/2025회계이월</t>
  </si>
  <si>
    <t>60 자금이월및기타지급거래</t>
  </si>
  <si>
    <t>028-000-22-10-00000-25 (하수도공기업특별회계 세입금　　　　)</t>
  </si>
  <si>
    <t>하수과-2/2024회계 가이월</t>
  </si>
  <si>
    <t>입금</t>
  </si>
  <si>
    <t>12-4 가이월입금</t>
  </si>
  <si>
    <t>하수과-298/2024회계 가이월</t>
  </si>
  <si>
    <t>02800022100000025</t>
    <phoneticPr fontId="3" type="noConversion"/>
  </si>
  <si>
    <t>10 이월입금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</si>
</sst>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383D4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176" fontId="1" fillId="3" borderId="1" xfId="0" applyNumberFormat="1" applyFont="1" applyFill="1" applyBorder="1" applyAlignment="1">
      <alignment horizontal="right" vertical="center"/>
    </xf>
    <xf numFmtId="0" fontId="0" fillId="0" borderId="0" xfId="0">
      <alignment vertical="center"/>
    </xf>
    <xf numFmtId="176" fontId="1" fillId="3" borderId="1" xfId="0" applyNumberFormat="1" applyFon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0" fontId="0" fillId="0" borderId="0" xfId="0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176" fontId="1" fillId="3" borderId="1" xfId="0" applyNumberFormat="1" applyFont="1" applyFill="1" applyBorder="1" applyAlignment="1">
      <alignment horizontal="right" vertical="center"/>
    </xf>
    <xf numFmtId="0" fontId="0" fillId="0" borderId="0" xfId="0">
      <alignment vertical="center"/>
    </xf>
    <xf numFmtId="176" fontId="1" fillId="3" borderId="1" xfId="0" applyNumberFormat="1" applyFon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5"/>
  <sheetViews>
    <sheetView tabSelected="1" workbookViewId="0">
      <selection activeCell="M7" sqref="M7"/>
    </sheetView>
  </sheetViews>
  <sheetFormatPr defaultRowHeight="16.5" x14ac:dyDescent="0.3"/>
  <cols>
    <col min="1" max="1" width="10.375" customWidth="1"/>
    <col min="2" max="2" width="10.125" customWidth="1"/>
    <col min="3" max="3" width="14" customWidth="1"/>
    <col min="4" max="4" width="13.5" customWidth="1"/>
    <col min="5" max="5" width="13.625" customWidth="1"/>
    <col min="6" max="6" width="13.875" customWidth="1"/>
    <col min="7" max="7" width="17.125" customWidth="1"/>
    <col min="8" max="8" width="12.375" customWidth="1"/>
    <col min="9" max="9" width="13.625" customWidth="1"/>
    <col min="10" max="10" width="15.5" customWidth="1"/>
    <col min="11" max="11" width="18" customWidth="1"/>
    <col min="12" max="12" width="14.75" customWidth="1"/>
    <col min="13" max="13" width="14.875" customWidth="1"/>
    <col min="14" max="14" width="12.125" customWidth="1"/>
    <col min="15" max="15" width="22.875" customWidth="1"/>
    <col min="16" max="16" width="12.375" customWidth="1"/>
    <col min="17" max="17" width="12.5" customWidth="1"/>
    <col min="18" max="18" width="58.5" customWidth="1"/>
    <col min="19" max="19" width="16" customWidth="1"/>
    <col min="20" max="20" width="9.375" customWidth="1"/>
    <col min="21" max="21" width="15.1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29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24</v>
      </c>
      <c r="H2" s="2" t="s">
        <v>24</v>
      </c>
      <c r="I2" s="2" t="s">
        <v>30</v>
      </c>
      <c r="J2" s="3">
        <v>0</v>
      </c>
      <c r="K2" s="3">
        <v>0</v>
      </c>
      <c r="L2" s="3">
        <v>0</v>
      </c>
      <c r="M2" s="3">
        <v>20000000000</v>
      </c>
      <c r="N2" s="3">
        <v>0</v>
      </c>
      <c r="O2" s="3">
        <v>0</v>
      </c>
      <c r="P2" s="3">
        <v>0</v>
      </c>
      <c r="Q2" s="3">
        <v>0</v>
      </c>
      <c r="R2" s="2" t="s">
        <v>31</v>
      </c>
      <c r="S2" s="2"/>
      <c r="T2" s="2" t="s">
        <v>32</v>
      </c>
      <c r="U2" s="2" t="s">
        <v>26</v>
      </c>
    </row>
    <row r="3" spans="1:21" x14ac:dyDescent="0.3">
      <c r="A3" s="2" t="s">
        <v>29</v>
      </c>
      <c r="B3" s="2" t="s">
        <v>33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24</v>
      </c>
      <c r="H3" s="2" t="s">
        <v>24</v>
      </c>
      <c r="I3" s="2" t="s">
        <v>30</v>
      </c>
      <c r="J3" s="3">
        <v>0</v>
      </c>
      <c r="K3" s="3">
        <v>0</v>
      </c>
      <c r="L3" s="3">
        <v>0</v>
      </c>
      <c r="M3" s="3">
        <v>10000000000</v>
      </c>
      <c r="N3" s="3">
        <v>0</v>
      </c>
      <c r="O3" s="3">
        <v>0</v>
      </c>
      <c r="P3" s="3">
        <v>0</v>
      </c>
      <c r="Q3" s="3">
        <v>0</v>
      </c>
      <c r="R3" s="2" t="s">
        <v>34</v>
      </c>
      <c r="S3" s="2"/>
      <c r="T3" s="2" t="s">
        <v>24</v>
      </c>
      <c r="U3" s="2" t="s">
        <v>26</v>
      </c>
    </row>
    <row r="4" spans="1:21" x14ac:dyDescent="0.3">
      <c r="A4" s="2" t="s">
        <v>35</v>
      </c>
      <c r="B4" s="2" t="s">
        <v>29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24</v>
      </c>
      <c r="H4" s="2" t="s">
        <v>24</v>
      </c>
      <c r="I4" s="2" t="s">
        <v>30</v>
      </c>
      <c r="J4" s="3">
        <v>0</v>
      </c>
      <c r="K4" s="3">
        <v>0</v>
      </c>
      <c r="L4" s="3">
        <v>0</v>
      </c>
      <c r="M4" s="3">
        <v>19073270454</v>
      </c>
      <c r="N4" s="3">
        <v>0</v>
      </c>
      <c r="O4" s="3">
        <v>0</v>
      </c>
      <c r="P4" s="3">
        <v>0</v>
      </c>
      <c r="Q4" s="3">
        <v>0</v>
      </c>
      <c r="R4" s="2" t="s">
        <v>36</v>
      </c>
      <c r="S4" s="2"/>
      <c r="T4" s="2" t="s">
        <v>24</v>
      </c>
      <c r="U4" s="2" t="s">
        <v>26</v>
      </c>
    </row>
    <row r="5" spans="1:21" x14ac:dyDescent="0.3">
      <c r="A5" s="2" t="s">
        <v>37</v>
      </c>
      <c r="B5" s="2" t="s">
        <v>38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24</v>
      </c>
      <c r="H5" s="2" t="s">
        <v>24</v>
      </c>
      <c r="I5" s="2" t="s">
        <v>30</v>
      </c>
      <c r="J5" s="3">
        <v>0</v>
      </c>
      <c r="K5" s="3">
        <v>0</v>
      </c>
      <c r="L5" s="3">
        <v>0</v>
      </c>
      <c r="M5" s="3">
        <v>10000000000</v>
      </c>
      <c r="N5" s="3">
        <v>0</v>
      </c>
      <c r="O5" s="3">
        <v>0</v>
      </c>
      <c r="P5" s="3">
        <v>0</v>
      </c>
      <c r="Q5" s="3">
        <v>0</v>
      </c>
      <c r="R5" s="2" t="s">
        <v>39</v>
      </c>
      <c r="S5" s="2"/>
      <c r="T5" s="2" t="s">
        <v>28</v>
      </c>
      <c r="U5" s="2" t="s">
        <v>26</v>
      </c>
    </row>
    <row r="6" spans="1:21" x14ac:dyDescent="0.3">
      <c r="M6" s="4">
        <f>SUM(M2:M5)</f>
        <v>59073270454</v>
      </c>
      <c r="O6" s="4">
        <f>SUM(O2:O5)</f>
        <v>0</v>
      </c>
    </row>
    <row r="8" spans="1:21" x14ac:dyDescent="0.3">
      <c r="I8">
        <v>209332</v>
      </c>
      <c r="J8" s="4">
        <f>SUM(M2:M5)</f>
        <v>59073270454</v>
      </c>
    </row>
    <row r="13" spans="1:21" x14ac:dyDescent="0.3">
      <c r="A13" s="5" t="s">
        <v>40</v>
      </c>
    </row>
    <row r="15" spans="1:21" ht="27" x14ac:dyDescent="0.3">
      <c r="A15" s="6" t="s">
        <v>41</v>
      </c>
      <c r="B15" s="6" t="s">
        <v>42</v>
      </c>
      <c r="C15" s="6" t="s">
        <v>43</v>
      </c>
      <c r="D15" s="6" t="s">
        <v>44</v>
      </c>
      <c r="E15" s="6" t="s">
        <v>45</v>
      </c>
      <c r="F15" s="6" t="s">
        <v>46</v>
      </c>
      <c r="G15" s="6" t="s">
        <v>47</v>
      </c>
      <c r="H15" s="6" t="s">
        <v>48</v>
      </c>
      <c r="I15" s="6" t="s">
        <v>49</v>
      </c>
      <c r="J15" s="6" t="s">
        <v>50</v>
      </c>
      <c r="K15" s="6" t="s">
        <v>51</v>
      </c>
      <c r="L15" s="6" t="s">
        <v>52</v>
      </c>
      <c r="M15" s="6" t="s">
        <v>53</v>
      </c>
      <c r="N15" s="6" t="s">
        <v>54</v>
      </c>
      <c r="O15" s="6" t="s">
        <v>55</v>
      </c>
      <c r="P15" s="6" t="s">
        <v>56</v>
      </c>
      <c r="Q15" s="7" t="s">
        <v>57</v>
      </c>
      <c r="R15" s="7" t="s">
        <v>57</v>
      </c>
      <c r="S15" s="6" t="s">
        <v>58</v>
      </c>
    </row>
    <row r="17" spans="1:20" x14ac:dyDescent="0.3">
      <c r="A17" s="8" t="s">
        <v>24</v>
      </c>
      <c r="B17" s="8" t="s">
        <v>59</v>
      </c>
      <c r="C17" s="8" t="s">
        <v>59</v>
      </c>
      <c r="D17" s="8" t="s">
        <v>59</v>
      </c>
      <c r="E17" s="9" t="s">
        <v>60</v>
      </c>
      <c r="F17" s="8" t="s">
        <v>61</v>
      </c>
      <c r="G17" s="9" t="s">
        <v>62</v>
      </c>
      <c r="H17" s="8"/>
      <c r="I17" s="8" t="s">
        <v>63</v>
      </c>
      <c r="J17" s="9" t="s">
        <v>64</v>
      </c>
      <c r="K17" s="8" t="s">
        <v>65</v>
      </c>
      <c r="L17" s="10">
        <v>20000000000</v>
      </c>
      <c r="M17" s="10">
        <v>0</v>
      </c>
      <c r="N17" s="10">
        <v>11426216088</v>
      </c>
      <c r="O17" s="10">
        <v>0</v>
      </c>
      <c r="P17" s="8"/>
      <c r="Q17" s="8"/>
      <c r="R17" s="8"/>
      <c r="S17" s="8" t="s">
        <v>66</v>
      </c>
    </row>
    <row r="18" spans="1:20" x14ac:dyDescent="0.3">
      <c r="A18" s="8" t="s">
        <v>27</v>
      </c>
      <c r="B18" s="8" t="s">
        <v>67</v>
      </c>
      <c r="C18" s="8" t="s">
        <v>67</v>
      </c>
      <c r="D18" s="8" t="s">
        <v>67</v>
      </c>
      <c r="E18" s="9" t="s">
        <v>60</v>
      </c>
      <c r="F18" s="8" t="s">
        <v>61</v>
      </c>
      <c r="G18" s="9" t="s">
        <v>68</v>
      </c>
      <c r="H18" s="8"/>
      <c r="I18" s="8" t="s">
        <v>63</v>
      </c>
      <c r="J18" s="9" t="s">
        <v>64</v>
      </c>
      <c r="K18" s="8" t="s">
        <v>65</v>
      </c>
      <c r="L18" s="10">
        <v>10000000000</v>
      </c>
      <c r="M18" s="10">
        <v>0</v>
      </c>
      <c r="N18" s="10">
        <v>2963701708</v>
      </c>
      <c r="O18" s="10">
        <v>0</v>
      </c>
      <c r="P18" s="8"/>
      <c r="Q18" s="8"/>
      <c r="R18" s="8"/>
      <c r="S18" s="8" t="s">
        <v>66</v>
      </c>
    </row>
    <row r="19" spans="1:20" x14ac:dyDescent="0.3">
      <c r="A19" s="8" t="s">
        <v>28</v>
      </c>
      <c r="B19" s="8" t="s">
        <v>69</v>
      </c>
      <c r="C19" s="8" t="s">
        <v>69</v>
      </c>
      <c r="D19" s="8" t="s">
        <v>69</v>
      </c>
      <c r="E19" s="9" t="s">
        <v>60</v>
      </c>
      <c r="F19" s="8" t="s">
        <v>61</v>
      </c>
      <c r="G19" s="9" t="s">
        <v>70</v>
      </c>
      <c r="H19" s="8"/>
      <c r="I19" s="8" t="s">
        <v>63</v>
      </c>
      <c r="J19" s="9" t="s">
        <v>64</v>
      </c>
      <c r="K19" s="8" t="s">
        <v>65</v>
      </c>
      <c r="L19" s="10">
        <v>10000000000</v>
      </c>
      <c r="M19" s="10">
        <v>0</v>
      </c>
      <c r="N19" s="10">
        <v>19073270454</v>
      </c>
      <c r="O19" s="10">
        <v>0</v>
      </c>
      <c r="P19" s="8"/>
      <c r="Q19" s="8"/>
      <c r="R19" s="8"/>
      <c r="S19" s="8" t="s">
        <v>66</v>
      </c>
    </row>
    <row r="21" spans="1:20" x14ac:dyDescent="0.3">
      <c r="A21" s="13" t="s">
        <v>24</v>
      </c>
      <c r="B21" s="13" t="s">
        <v>69</v>
      </c>
      <c r="C21" s="13" t="s">
        <v>69</v>
      </c>
      <c r="D21" s="13" t="s">
        <v>69</v>
      </c>
      <c r="E21" s="14" t="s">
        <v>60</v>
      </c>
      <c r="F21" s="13" t="s">
        <v>61</v>
      </c>
      <c r="G21" s="14" t="s">
        <v>71</v>
      </c>
      <c r="H21" s="13"/>
      <c r="I21" s="13" t="s">
        <v>63</v>
      </c>
      <c r="J21" s="14" t="s">
        <v>72</v>
      </c>
      <c r="K21" s="13" t="s">
        <v>65</v>
      </c>
      <c r="L21" s="12">
        <v>19073270454</v>
      </c>
      <c r="M21" s="12">
        <v>0</v>
      </c>
      <c r="N21" s="12">
        <v>0</v>
      </c>
      <c r="O21" s="12">
        <v>0</v>
      </c>
      <c r="P21" s="13"/>
      <c r="Q21" s="13"/>
      <c r="R21" s="13"/>
      <c r="S21" s="13" t="s">
        <v>66</v>
      </c>
      <c r="T21" s="11"/>
    </row>
    <row r="23" spans="1:20" x14ac:dyDescent="0.3">
      <c r="L23" s="4">
        <f>SUM(L17:L21)</f>
        <v>59073270454</v>
      </c>
    </row>
    <row r="27" spans="1:20" x14ac:dyDescent="0.3">
      <c r="A27" s="5" t="s">
        <v>78</v>
      </c>
    </row>
    <row r="29" spans="1:20" x14ac:dyDescent="0.3">
      <c r="A29" s="16" t="s">
        <v>24</v>
      </c>
      <c r="B29" s="16" t="s">
        <v>59</v>
      </c>
      <c r="C29" s="16" t="s">
        <v>59</v>
      </c>
      <c r="D29" s="16" t="s">
        <v>59</v>
      </c>
      <c r="E29" s="17" t="s">
        <v>73</v>
      </c>
      <c r="F29" s="16" t="s">
        <v>61</v>
      </c>
      <c r="G29" s="17" t="s">
        <v>74</v>
      </c>
      <c r="H29" s="16"/>
      <c r="I29" s="16" t="s">
        <v>75</v>
      </c>
      <c r="J29" s="17" t="s">
        <v>76</v>
      </c>
      <c r="K29" s="16" t="s">
        <v>65</v>
      </c>
      <c r="L29" s="18">
        <v>0</v>
      </c>
      <c r="M29" s="18">
        <v>20000000000</v>
      </c>
      <c r="N29" s="18">
        <v>20000000000</v>
      </c>
      <c r="O29" s="18">
        <v>0</v>
      </c>
      <c r="P29" s="16"/>
      <c r="Q29" s="16"/>
      <c r="R29" s="16"/>
      <c r="S29" s="16" t="s">
        <v>66</v>
      </c>
      <c r="T29" s="15"/>
    </row>
    <row r="30" spans="1:20" x14ac:dyDescent="0.3">
      <c r="A30" s="16" t="s">
        <v>27</v>
      </c>
      <c r="B30" s="16" t="s">
        <v>67</v>
      </c>
      <c r="C30" s="16" t="s">
        <v>67</v>
      </c>
      <c r="D30" s="16" t="s">
        <v>67</v>
      </c>
      <c r="E30" s="17" t="s">
        <v>73</v>
      </c>
      <c r="F30" s="16" t="s">
        <v>61</v>
      </c>
      <c r="G30" s="17" t="s">
        <v>77</v>
      </c>
      <c r="H30" s="16"/>
      <c r="I30" s="16" t="s">
        <v>75</v>
      </c>
      <c r="J30" s="17" t="s">
        <v>76</v>
      </c>
      <c r="K30" s="16" t="s">
        <v>65</v>
      </c>
      <c r="L30" s="18">
        <v>0</v>
      </c>
      <c r="M30" s="18">
        <v>10000000000</v>
      </c>
      <c r="N30" s="18">
        <v>29857203330</v>
      </c>
      <c r="O30" s="18">
        <v>0</v>
      </c>
      <c r="P30" s="16"/>
      <c r="Q30" s="16"/>
      <c r="R30" s="16"/>
      <c r="S30" s="16" t="s">
        <v>66</v>
      </c>
      <c r="T30" s="15"/>
    </row>
    <row r="31" spans="1:20" x14ac:dyDescent="0.3">
      <c r="A31" s="16" t="s">
        <v>28</v>
      </c>
      <c r="B31" s="16" t="s">
        <v>69</v>
      </c>
      <c r="C31" s="16" t="s">
        <v>69</v>
      </c>
      <c r="D31" s="16" t="s">
        <v>69</v>
      </c>
      <c r="E31" s="17" t="s">
        <v>73</v>
      </c>
      <c r="F31" s="16" t="s">
        <v>61</v>
      </c>
      <c r="G31" s="17" t="s">
        <v>70</v>
      </c>
      <c r="H31" s="16"/>
      <c r="I31" s="16" t="s">
        <v>75</v>
      </c>
      <c r="J31" s="17" t="s">
        <v>76</v>
      </c>
      <c r="K31" s="16" t="s">
        <v>65</v>
      </c>
      <c r="L31" s="18">
        <v>0</v>
      </c>
      <c r="M31" s="18">
        <v>10000000000</v>
      </c>
      <c r="N31" s="18">
        <v>11066487761</v>
      </c>
      <c r="O31" s="18">
        <v>0</v>
      </c>
      <c r="P31" s="16"/>
      <c r="Q31" s="16"/>
      <c r="R31" s="16"/>
      <c r="S31" s="16" t="s">
        <v>66</v>
      </c>
      <c r="T31" s="15"/>
    </row>
    <row r="33" spans="1:20" x14ac:dyDescent="0.3">
      <c r="A33" s="21" t="s">
        <v>24</v>
      </c>
      <c r="B33" s="21" t="s">
        <v>69</v>
      </c>
      <c r="C33" s="21" t="s">
        <v>69</v>
      </c>
      <c r="D33" s="21" t="s">
        <v>69</v>
      </c>
      <c r="E33" s="22" t="s">
        <v>73</v>
      </c>
      <c r="F33" s="21" t="s">
        <v>61</v>
      </c>
      <c r="G33" s="22" t="s">
        <v>71</v>
      </c>
      <c r="H33" s="21"/>
      <c r="I33" s="21" t="s">
        <v>75</v>
      </c>
      <c r="J33" s="22" t="s">
        <v>79</v>
      </c>
      <c r="K33" s="21" t="s">
        <v>65</v>
      </c>
      <c r="L33" s="20">
        <v>0</v>
      </c>
      <c r="M33" s="20">
        <v>19073270454</v>
      </c>
      <c r="N33" s="20">
        <v>20139758215</v>
      </c>
      <c r="O33" s="20">
        <v>0</v>
      </c>
      <c r="P33" s="21"/>
      <c r="Q33" s="21"/>
      <c r="R33" s="21"/>
      <c r="S33" s="21" t="s">
        <v>66</v>
      </c>
      <c r="T33" s="19"/>
    </row>
    <row r="35" spans="1:20" x14ac:dyDescent="0.3">
      <c r="M35" s="4">
        <f>SUM(M29:M33)</f>
        <v>59073270454</v>
      </c>
    </row>
  </sheetData>
  <mergeCells count="1">
    <mergeCell ref="Q15:R1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2025-11-13T01:49:24Z</dcterms:created>
  <dcterms:modified xsi:type="dcterms:W3CDTF">2025-11-13T04:25:57Z</dcterms:modified>
</cp:coreProperties>
</file>